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venue" sheetId="2" state="visible" r:id="rId4"/>
    <sheet name="Manufacturing" sheetId="3" state="visible" r:id="rId5"/>
    <sheet name="Personnel" sheetId="4" state="visible" r:id="rId6"/>
    <sheet name="Operating Costs" sheetId="5" state="visible" r:id="rId7"/>
    <sheet name="Implementation" sheetId="6" state="visible" r:id="rId8"/>
    <sheet name="Equipment" sheetId="7" state="visible" r:id="rId9"/>
    <sheet name="Development" sheetId="8" state="visible" r:id="rId10"/>
    <sheet name="Financing" sheetId="9" state="visible" r:id="rId11"/>
    <sheet name="Profitabilit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<sst xmlns="http://schemas.openxmlformats.org/spreadsheetml/2006/main" count="433" uniqueCount="253">
  <si>
    <t xml:space="preserve">GRIDx Smart Meter - 5-Year Financial Model</t>
  </si>
  <si>
    <t xml:space="preserve">10,000 Meters</t>
  </si>
  <si>
    <t xml:space="preserve">Recommended</t>
  </si>
  <si>
    <t xml:space="preserve">1. Input Parameters</t>
  </si>
  <si>
    <t xml:space="preserve">Rollout Scenario:</t>
  </si>
  <si>
    <t xml:space="preserve">Total Revenue</t>
  </si>
  <si>
    <t xml:space="preserve">Net Profit</t>
  </si>
  <si>
    <t xml:space="preserve">Hardware Price:</t>
  </si>
  <si>
    <t xml:space="preserve">N$5,500</t>
  </si>
  <si>
    <t xml:space="preserve">/unit/yr</t>
  </si>
  <si>
    <t xml:space="preserve">Gross Margin</t>
  </si>
  <si>
    <t xml:space="preserve">Payback Period</t>
  </si>
  <si>
    <t xml:space="preserve">Installation:</t>
  </si>
  <si>
    <t xml:space="preserve">N$700</t>
  </si>
  <si>
    <t xml:space="preserve">one-time</t>
  </si>
  <si>
    <t xml:space="preserve">Mfg Cost/Meter:</t>
  </si>
  <si>
    <t xml:space="preserve">per unit</t>
  </si>
  <si>
    <t xml:space="preserve">Personnel:</t>
  </si>
  <si>
    <t xml:space="preserve">N$748,800</t>
  </si>
  <si>
    <t xml:space="preserve">/year</t>
  </si>
  <si>
    <t xml:space="preserve">Annual Revenue:</t>
  </si>
  <si>
    <t xml:space="preserve">Total 5Y Revenue:</t>
  </si>
  <si>
    <t xml:space="preserve">5-year</t>
  </si>
  <si>
    <t xml:space="preserve">Total 5Y Costs:</t>
  </si>
  <si>
    <t xml:space="preserve">Net Profit: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</si>
  <si>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</si>
  <si>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</si>
  <si>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</si>
  <si>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</si>
  <si>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</si>
  <si>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</si>
  <si>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5-Year Total</t>
  </si>
  <si>
    <t xml:space="preserve">Hardware Sales</t>
  </si>
  <si>
    <t xml:space="preserve">Installation Fees</t>
  </si>
  <si>
    <t xml:space="preserve">0</t>
  </si>
  <si>
    <t xml:space="preserve">Service Revenue</t>
  </si>
  <si>
    <t xml:space="preserve">Manufacturing Costs</t>
  </si>
  <si>
    <t xml:space="preserve">Operating Costs</t>
  </si>
  <si>
    <t xml:space="preserve">Scenario Comparison</t>
  </si>
  <si>
    <t xml:space="preserve">3K</t>
  </si>
  <si>
    <t xml:space="preserve">5K</t>
  </si>
  <si>
    <t xml:space="preserve">10K</t>
  </si>
  <si>
    <t xml:space="preserve">20K</t>
  </si>
  <si>
    <t xml:space="preserve">50K</t>
  </si>
  <si>
    <t xml:space="preserve">5-Year Revenue</t>
  </si>
  <si>
    <t xml:space="preserve">5-Year Costs</t>
  </si>
  <si>
    <t xml:space="preserve">Payback</t>
  </si>
  <si>
    <t xml:space="preserve">3,000 Meters</t>
  </si>
  <si>
    <t xml:space="preserve">5,000 Meters</t>
  </si>
  <si>
    <t xml:space="preserve">20,000 Meters</t>
  </si>
  <si>
    <t xml:space="preserve">50,000 Meters</t>
  </si>
  <si>
    <t xml:space="preserve">RevM</t>
  </si>
  <si>
    <t xml:space="preserve">CostM</t>
  </si>
  <si>
    <t xml:space="preserve">ProfM</t>
  </si>
  <si>
    <t xml:space="preserve">Revenue Model — Assumptions &amp; Derivation</t>
  </si>
  <si>
    <t xml:space="preserve">Revenue Stream</t>
  </si>
  <si>
    <t xml:space="preserve">Rate</t>
  </si>
  <si>
    <t xml:space="preserve">Adoption</t>
  </si>
  <si>
    <t xml:space="preserve">Basis</t>
  </si>
  <si>
    <t xml:space="preserve">Annual/Meter (N$)</t>
  </si>
  <si>
    <t xml:space="preserve">Meter Hardware Sale</t>
  </si>
  <si>
    <t xml:space="preserve">N$5,500/yr</t>
  </si>
  <si>
    <t xml:space="preserve">100%</t>
  </si>
  <si>
    <t xml:space="preserve">Annual recurring</t>
  </si>
  <si>
    <t xml:space="preserve">Installation Fee</t>
  </si>
  <si>
    <t xml:space="preserve">N$700 one-time</t>
  </si>
  <si>
    <t xml:space="preserve">One-time</t>
  </si>
  <si>
    <t xml:space="preserve">Maintenance</t>
  </si>
  <si>
    <t xml:space="preserve">N$300/yr</t>
  </si>
  <si>
    <t xml:space="preserve">Annual</t>
  </si>
  <si>
    <t xml:space="preserve">Wi-Fi Subscription</t>
  </si>
  <si>
    <t xml:space="preserve">N$25/mo</t>
  </si>
  <si>
    <t xml:space="preserve">30%</t>
  </si>
  <si>
    <t xml:space="preserve">30% x 25 x 12</t>
  </si>
  <si>
    <t xml:space="preserve">SMS Notifications</t>
  </si>
  <si>
    <t xml:space="preserve">N$2.50/SMS</t>
  </si>
  <si>
    <t xml:space="preserve">50%</t>
  </si>
  <si>
    <t xml:space="preserve">50% x 2 x 2.50 x 12</t>
  </si>
  <si>
    <t xml:space="preserve">Mobile App</t>
  </si>
  <si>
    <t xml:space="preserve">N$65/mo</t>
  </si>
  <si>
    <t xml:space="preserve">80%</t>
  </si>
  <si>
    <t xml:space="preserve">80% x 65 x 12</t>
  </si>
  <si>
    <t xml:space="preserve">Real Estate Mgmt</t>
  </si>
  <si>
    <t xml:space="preserve">N$3,200/blk/mo</t>
  </si>
  <si>
    <t xml:space="preserve">1/500m</t>
  </si>
  <si>
    <t xml:space="preserve">(m/500) x 3200 x 12 / m</t>
  </si>
  <si>
    <t xml:space="preserve">Annual Recurring per Meter</t>
  </si>
  <si>
    <t xml:space="preserve">Year 1 Total per Meter (incl Install)</t>
  </si>
  <si>
    <t xml:space="preserve">Revenue by Year &amp; Scenario</t>
  </si>
  <si>
    <t xml:space="preserve">Year</t>
  </si>
  <si>
    <t xml:space="preserve">5-Year Revenue Breakdown by Stream</t>
  </si>
  <si>
    <t xml:space="preserve">Hardware Sales (N$5,500/yr x 5)</t>
  </si>
  <si>
    <t xml:space="preserve">Installation Fees (N$700 one-time)</t>
  </si>
  <si>
    <t xml:space="preserve">Maintenance (N$300/yr x 5)</t>
  </si>
  <si>
    <t xml:space="preserve">Wi-Fi (N$90/yr x 5)</t>
  </si>
  <si>
    <t xml:space="preserve">SMS (N$30/yr x 5)</t>
  </si>
  <si>
    <t xml:space="preserve">Mobile App (N$624/yr x 5)</t>
  </si>
  <si>
    <t xml:space="preserve">Real Estate (N$76.80/yr x 5)</t>
  </si>
  <si>
    <t xml:space="preserve">Total 5-Year Revenue</t>
  </si>
  <si>
    <t xml:space="preserve">Manufacturing Costs — Derivation</t>
  </si>
  <si>
    <t xml:space="preserve">VOLUME DISCOUNT STRUCTURE</t>
  </si>
  <si>
    <t xml:space="preserve">Volume Tier</t>
  </si>
  <si>
    <t xml:space="preserve">Discount</t>
  </si>
  <si>
    <t xml:space="preserve">Cost/Meter (N$)</t>
  </si>
  <si>
    <t xml:space="preserve">Calculation Basis</t>
  </si>
  <si>
    <t xml:space="preserve">Base (0-9,999)</t>
  </si>
  <si>
    <t xml:space="preserve">0%</t>
  </si>
  <si>
    <t xml:space="preserve">N$2,000 per meter</t>
  </si>
  <si>
    <t xml:space="preserve">10,000 - 19,999</t>
  </si>
  <si>
    <t xml:space="preserve">15%</t>
  </si>
  <si>
    <t xml:space="preserve">15% reduction</t>
  </si>
  <si>
    <t xml:space="preserve">20,000 - 49,999</t>
  </si>
  <si>
    <t xml:space="preserve">30% reduction</t>
  </si>
  <si>
    <t xml:space="preserve">50,000+</t>
  </si>
  <si>
    <t xml:space="preserve">~27%</t>
  </si>
  <si>
    <t xml:space="preserve">Adjusted to N$1,462</t>
  </si>
  <si>
    <t xml:space="preserve">MANUFACTURING COST BY SCENARIO</t>
  </si>
  <si>
    <t xml:space="preserve">Cost Item</t>
  </si>
  <si>
    <t xml:space="preserve">Meter Hardware (Volume x Unit Cost)</t>
  </si>
  <si>
    <t xml:space="preserve">Spare Parts (2% x N$4,495/meter)</t>
  </si>
  <si>
    <t xml:space="preserve">TOTAL MANUFACTURING</t>
  </si>
  <si>
    <t xml:space="preserve">UNIT COST SUMMARY</t>
  </si>
  <si>
    <t xml:space="preserve">Meters Deployed</t>
  </si>
  <si>
    <t xml:space="preserve">Cost per Meter (N$)</t>
  </si>
  <si>
    <t xml:space="preserve">Discount Applied</t>
  </si>
  <si>
    <t xml:space="preserve">27%</t>
  </si>
  <si>
    <t xml:space="preserve">Personnel — Detailed Staffing Plan</t>
  </si>
  <si>
    <t xml:space="preserve">Headcount by position per deployment scenario</t>
  </si>
  <si>
    <t xml:space="preserve">Position</t>
  </si>
  <si>
    <t xml:space="preserve">Monthly (N$)</t>
  </si>
  <si>
    <t xml:space="preserve">Annual (N$)</t>
  </si>
  <si>
    <t xml:space="preserve">LEADERSHIP &amp; MANAGEMENT</t>
  </si>
  <si>
    <t xml:space="preserve">CEO</t>
  </si>
  <si>
    <t xml:space="preserve">COO</t>
  </si>
  <si>
    <t xml:space="preserve">CFO</t>
  </si>
  <si>
    <t xml:space="preserve">CTO</t>
  </si>
  <si>
    <t xml:space="preserve">Head of Business Dev</t>
  </si>
  <si>
    <t xml:space="preserve">Head of HR</t>
  </si>
  <si>
    <t xml:space="preserve">Legal &amp; Compliance</t>
  </si>
  <si>
    <t xml:space="preserve">OPERATIONS &amp; FIELD</t>
  </si>
  <si>
    <t xml:space="preserve">Operations Manager</t>
  </si>
  <si>
    <t xml:space="preserve">Field Support Techs</t>
  </si>
  <si>
    <t xml:space="preserve">Installation Team Lead</t>
  </si>
  <si>
    <t xml:space="preserve">Logistics Coordinator</t>
  </si>
  <si>
    <t xml:space="preserve">ENGINEERING &amp; QA</t>
  </si>
  <si>
    <t xml:space="preserve">Engineering Manager</t>
  </si>
  <si>
    <t xml:space="preserve">QA Engineers</t>
  </si>
  <si>
    <t xml:space="preserve">Firmware/Software Eng</t>
  </si>
  <si>
    <t xml:space="preserve">Hardware Engineers</t>
  </si>
  <si>
    <t xml:space="preserve">CUSTOMER SUCCESS</t>
  </si>
  <si>
    <t xml:space="preserve">Customer Support Mgr</t>
  </si>
  <si>
    <t xml:space="preserve">Customer Support Agents</t>
  </si>
  <si>
    <t xml:space="preserve">Technical Support</t>
  </si>
  <si>
    <t xml:space="preserve">SALES &amp; MARKETING</t>
  </si>
  <si>
    <t xml:space="preserve">Sales Manager</t>
  </si>
  <si>
    <t xml:space="preserve">Sales Representatives</t>
  </si>
  <si>
    <t xml:space="preserve">Marketing Coordinator</t>
  </si>
  <si>
    <t xml:space="preserve">FINANCE &amp; ADMIN</t>
  </si>
  <si>
    <t xml:space="preserve">Finance Manager</t>
  </si>
  <si>
    <t xml:space="preserve">Accountant</t>
  </si>
  <si>
    <t xml:space="preserve">Admin Assistant</t>
  </si>
  <si>
    <t xml:space="preserve">TOTAL HEADCOUNT</t>
  </si>
  <si>
    <t xml:space="preserve">ANNUAL PERSONNEL COST BY SCENARIO</t>
  </si>
  <si>
    <t xml:space="preserve">Annual Salary</t>
  </si>
  <si>
    <t xml:space="preserve">TOTAL ANNUAL PERSONNEL COST</t>
  </si>
  <si>
    <t xml:space="preserve">Note: The financial model uses a consolidated annual personnel figure of N$748,800/yr.</t>
  </si>
  <si>
    <t xml:space="preserve">This sheet shows the recommended full-scale staffing plan for reference.</t>
  </si>
  <si>
    <t xml:space="preserve">Operating Costs — 5-Year Total</t>
  </si>
  <si>
    <t xml:space="preserve">Annual recurring costs x 5 years</t>
  </si>
  <si>
    <t xml:space="preserve">Personnel (N$748,800/yr x 5)</t>
  </si>
  <si>
    <t xml:space="preserve">Data Storage (N$48/meter/yr x 5)</t>
  </si>
  <si>
    <t xml:space="preserve">Vehicle Maintenance</t>
  </si>
  <si>
    <t xml:space="preserve">Field Equipment Upkeep</t>
  </si>
  <si>
    <t xml:space="preserve">Office &amp; Utilities (N$240,000/yr x 5)</t>
  </si>
  <si>
    <t xml:space="preserve">Software &amp; Tools (N$120,000/yr x 5)</t>
  </si>
  <si>
    <t xml:space="preserve">Marketing &amp; Branding (N$200,000/yr x 5)</t>
  </si>
  <si>
    <t xml:space="preserve">Regulatory Compliance (N$100,000/yr x 5)</t>
  </si>
  <si>
    <t xml:space="preserve">Insurance &amp; Risk (N$150,000/yr x 5)</t>
  </si>
  <si>
    <t xml:space="preserve">TOTAL OPERATING (5-Year)</t>
  </si>
  <si>
    <t xml:space="preserve">Implementation Costs — One-Time</t>
  </si>
  <si>
    <t xml:space="preserve">Deployment and setup costs (Year 1 only)</t>
  </si>
  <si>
    <t xml:space="preserve">Project Management</t>
  </si>
  <si>
    <t xml:space="preserve">Site Surveys &amp; Assessment</t>
  </si>
  <si>
    <t xml:space="preserve">Onboarding &amp; Training</t>
  </si>
  <si>
    <t xml:space="preserve">System Integration</t>
  </si>
  <si>
    <t xml:space="preserve">TOTAL IMPLEMENTATION</t>
  </si>
  <si>
    <t xml:space="preserve">Equipment Investment — One-Time</t>
  </si>
  <si>
    <t xml:space="preserve">Capital equipment purchases (Year 1 only)</t>
  </si>
  <si>
    <t xml:space="preserve">Service Vehicles (N$250,000 each)</t>
  </si>
  <si>
    <t xml:space="preserve">Test Equipment Kits (N$85,000 each)</t>
  </si>
  <si>
    <t xml:space="preserve">Workstations (N$15,000 each)</t>
  </si>
  <si>
    <t xml:space="preserve">Network Monitoring (N$120,000 each)</t>
  </si>
  <si>
    <t xml:space="preserve">Office Furniture</t>
  </si>
  <si>
    <t xml:space="preserve">Server/Cloud Infrastructure</t>
  </si>
  <si>
    <t xml:space="preserve">TOTAL EQUIPMENT</t>
  </si>
  <si>
    <t xml:space="preserve">EQUIPMENT QUANTITIES</t>
  </si>
  <si>
    <t xml:space="preserve">Item</t>
  </si>
  <si>
    <t xml:space="preserve">Service Vehicles</t>
  </si>
  <si>
    <t xml:space="preserve">Test Equipment Kits</t>
  </si>
  <si>
    <t xml:space="preserve">Workstations</t>
  </si>
  <si>
    <t xml:space="preserve">Network Monitoring Tools</t>
  </si>
  <si>
    <t xml:space="preserve">Development Costs — Pre-Launch</t>
  </si>
  <si>
    <t xml:space="preserve">R&amp;D and product development (one-time investment)</t>
  </si>
  <si>
    <t xml:space="preserve">Electronics Manufacturing Dev</t>
  </si>
  <si>
    <t xml:space="preserve">Software R&amp;D</t>
  </si>
  <si>
    <t xml:space="preserve">Mobile App Development</t>
  </si>
  <si>
    <t xml:space="preserve">Firmware Development</t>
  </si>
  <si>
    <t xml:space="preserve">Enclosure Manufacturing</t>
  </si>
  <si>
    <t xml:space="preserve">Marketing/Branding Launch</t>
  </si>
  <si>
    <t xml:space="preserve">Regulatory &amp; Legal</t>
  </si>
  <si>
    <t xml:space="preserve">Office/Logistics Setup</t>
  </si>
  <si>
    <t xml:space="preserve">Development Contingency (5%)</t>
  </si>
  <si>
    <t xml:space="preserve">TOTAL DEVELOPMENT</t>
  </si>
  <si>
    <t xml:space="preserve">Financing &amp; Contingency</t>
  </si>
  <si>
    <t xml:space="preserve">FINANCING COSTS</t>
  </si>
  <si>
    <t xml:space="preserve">Interest on Working Capital</t>
  </si>
  <si>
    <t xml:space="preserve">Bank Fees &amp; Charges</t>
  </si>
  <si>
    <t xml:space="preserve">TOTAL FINANCING</t>
  </si>
  <si>
    <t xml:space="preserve">CONTINGENCY RESERVES</t>
  </si>
  <si>
    <t xml:space="preserve">Operating Contingency (10% of 5Y Operating)</t>
  </si>
  <si>
    <t xml:space="preserve">Implementation Contingency (10%)</t>
  </si>
  <si>
    <t xml:space="preserve">TOTAL CONTINGENCY</t>
  </si>
  <si>
    <t xml:space="preserve">Profitability Analysis — All Scenarios</t>
  </si>
  <si>
    <t xml:space="preserve">YEAR 1 ANALYSIS</t>
  </si>
  <si>
    <t xml:space="preserve">Year 1 Revenue</t>
  </si>
  <si>
    <t xml:space="preserve">YEAR 1 COSTS:</t>
  </si>
  <si>
    <t xml:space="preserve">Manufacturing (one-time)</t>
  </si>
  <si>
    <t xml:space="preserve">Operating (1 year)</t>
  </si>
  <si>
    <t xml:space="preserve">Implementation (one-time)</t>
  </si>
  <si>
    <t xml:space="preserve">Equipment (one-time)</t>
  </si>
  <si>
    <t xml:space="preserve">Development (one-time)</t>
  </si>
  <si>
    <t xml:space="preserve">Financing</t>
  </si>
  <si>
    <t xml:space="preserve">Contingency (1 year)</t>
  </si>
  <si>
    <t xml:space="preserve">Total Year 1 Costs</t>
  </si>
  <si>
    <t xml:space="preserve">Year 1 Net Profit</t>
  </si>
  <si>
    <t xml:space="preserve">Year 1 Net Margin</t>
  </si>
  <si>
    <t xml:space="preserve">5-YEAR PROJECTIONS</t>
  </si>
  <si>
    <t xml:space="preserve">5-Year Total Revenue</t>
  </si>
  <si>
    <t xml:space="preserve">5-Year Total Costs</t>
  </si>
  <si>
    <t xml:space="preserve">5-Year Net Profit</t>
  </si>
  <si>
    <t xml:space="preserve">5-Year ROI %</t>
  </si>
  <si>
    <t xml:space="preserve">5-Year Net Margin %</t>
  </si>
  <si>
    <t xml:space="preserve">Payback Period (months)</t>
  </si>
  <si>
    <t xml:space="preserve">DCF / Net Present Value</t>
  </si>
  <si>
    <t xml:space="preserve">5-YEAR COST BREAKDOWN</t>
  </si>
  <si>
    <t xml:space="preserve">Cost Category</t>
  </si>
  <si>
    <t xml:space="preserve">Manufacturing</t>
  </si>
  <si>
    <t xml:space="preserve">Operating Costs (5Y)</t>
  </si>
  <si>
    <t xml:space="preserve">Implementation</t>
  </si>
  <si>
    <t xml:space="preserve">Equipment</t>
  </si>
  <si>
    <t xml:space="preserve">Development</t>
  </si>
  <si>
    <t xml:space="preserve">Contingency</t>
  </si>
  <si>
    <t xml:space="preserve">TOTAL 5-YEAR COSTS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</si>
</sst>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&quot;N$&quot;#,##0.0,,\M"/>
    <numFmt numFmtId="166" formatCode="0.0%"/>
    <numFmt numFmtId="167" formatCode="0.0&quot; mo&quot;"/>
    <numFmt numFmtId="168" formatCode="&quot;N$&quot;#,##0"/>
    <numFmt numFmtId="169" formatCode="General"/>
    <numFmt numFmtId="170" formatCode="[$$-409]#,##0.00;[RED]\-[$$-409]#,##0.00"/>
    <numFmt numFmtId="171" formatCode="0"/>
    <numFmt numFmtId="172" formatCode="&quot;N$&quot;#,##0.00"/>
    <numFmt numFmtId="173" formatCode="#,##0"/>
    <numFmt numFmtId="174" formatCode="0.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i val="true"/>
      <sz val="10"/>
      <color rgb="FFF59E0B"/>
      <name val="Calibri"/>
      <family val="0"/>
      <charset val="1"/>
    </font>
    <font>
      <b val="true"/>
      <sz val="11"/>
      <color rgb="FF3B82F6"/>
      <name val="Calibri"/>
      <family val="0"/>
      <charset val="1"/>
    </font>
    <font>
      <b val="true"/>
      <sz val="18"/>
      <color rgb="FF22C55E"/>
      <name val="Calibri"/>
      <family val="0"/>
      <charset val="1"/>
    </font>
    <font>
      <sz val="10"/>
      <color rgb="FFFFFFFF"/>
      <name val="Calibri"/>
      <family val="0"/>
      <charset val="1"/>
    </font>
    <font>
      <sz val="9"/>
      <color rgb="FF94A3B8"/>
      <name val="Calibri"/>
      <family val="0"/>
      <charset val="1"/>
    </font>
    <font>
      <b val="true"/>
      <sz val="18"/>
      <color rgb="FFF59E0B"/>
      <name val="Calibri"/>
      <family val="0"/>
      <charset val="1"/>
    </font>
    <font>
      <b val="true"/>
      <sz val="18"/>
      <color rgb="FF3B82F6"/>
      <name val="Calibri"/>
      <family val="0"/>
      <charset val="1"/>
    </font>
    <font>
      <b val="true"/>
      <sz val="10"/>
      <color rgb="FF22C55E"/>
      <name val="Calibri"/>
      <family val="0"/>
      <charset val="1"/>
    </font>
    <font>
      <sz val="8"/>
      <color rgb="FF94A3B8"/>
      <name val="Calibri"/>
      <family val="0"/>
      <charset val="1"/>
    </font>
    <font>
      <sz val="10"/>
      <color rgb="FFEF4444"/>
      <name val="Calibri"/>
      <family val="0"/>
      <charset val="1"/>
    </font>
    <font>
      <b val="true"/>
      <sz val="10"/>
      <color rgb="FFF59E0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2"/>
      <color rgb="FFF59E0B"/>
      <name val="Calibri"/>
      <family val="0"/>
      <charset val="1"/>
    </font>
    <font>
      <b val="true"/>
      <sz val="10"/>
      <color rgb="FFEF4444"/>
      <name val="Calibri"/>
      <family val="0"/>
      <charset val="1"/>
    </font>
    <font>
      <sz val="7"/>
      <color rgb="FF162236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0"/>
      <color rgb="FF4472C4"/>
      <name val="Calibri"/>
      <family val="0"/>
      <charset val="1"/>
    </font>
    <font>
      <i val="true"/>
      <sz val="10"/>
      <color rgb="FFC00000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F1B2D"/>
        <bgColor rgb="FF162236"/>
      </patternFill>
    </fill>
    <fill>
      <patternFill patternType="solid">
        <fgColor rgb="FF162236"/>
        <bgColor rgb="FF0F1B2D"/>
      </patternFill>
    </fill>
    <fill>
      <patternFill patternType="solid">
        <fgColor rgb="FF3B82F6"/>
        <bgColor rgb="FF4472C4"/>
      </patternFill>
    </fill>
    <fill>
      <patternFill patternType="solid">
        <fgColor rgb="FF1E3A5F"/>
        <bgColor rgb="FF243B55"/>
      </patternFill>
    </fill>
    <fill>
      <patternFill patternType="solid">
        <fgColor rgb="FF2563EB"/>
        <bgColor rgb="FF4472C4"/>
      </patternFill>
    </fill>
    <fill>
      <patternFill patternType="solid">
        <fgColor rgb="FF243B55"/>
        <bgColor rgb="FF1E3A5F"/>
      </patternFill>
    </fill>
    <fill>
      <patternFill patternType="solid">
        <fgColor rgb="FF1D2B42"/>
        <bgColor rgb="FF1B2A4A"/>
      </patternFill>
    </fill>
    <fill>
      <patternFill patternType="solid">
        <fgColor rgb="FF1B2A4A"/>
        <bgColor rgb="FF1D2B4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  <bgColor rgb="FFD9D9D9"/>
      </patternFill>
    </fill>
    <fill>
      <patternFill patternType="solid">
        <fgColor rgb="FFFCE4D6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D3F59"/>
      </left>
      <right style="thin">
        <color rgb="FF2D3F59"/>
      </right>
      <top style="thin">
        <color rgb="FF2D3F59"/>
      </top>
      <bottom style="thin">
        <color rgb="FF2D3F5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medium">
        <color rgb="FF1B2A4A"/>
      </top>
      <bottom style="double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8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7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9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1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7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B2A4A"/>
      <rgbColor rgb="FF808000"/>
      <rgbColor rgb="FF800080"/>
      <rgbColor rgb="FF3B82F6"/>
      <rgbColor rgb="FFC0C0C0"/>
      <rgbColor rgb="FF878787"/>
      <rgbColor rgb="FF9999FF"/>
      <rgbColor rgb="FF7030A0"/>
      <rgbColor rgb="FFFFF2CC"/>
      <rgbColor rgb="FFD6E4F0"/>
      <rgbColor rgb="FF660066"/>
      <rgbColor rgb="FFFF8080"/>
      <rgbColor rgb="FF4472C4"/>
      <rgbColor rgb="FFD9D9D9"/>
      <rgbColor rgb="FF243B55"/>
      <rgbColor rgb="FFFF00FF"/>
      <rgbColor rgb="FFFFFF00"/>
      <rgbColor rgb="FF00FFFF"/>
      <rgbColor rgb="FF800080"/>
      <rgbColor rgb="FF800000"/>
      <rgbColor rgb="FF2D3F59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CE4D6"/>
      <rgbColor rgb="FF2563EB"/>
      <rgbColor rgb="FF33CCCC"/>
      <rgbColor rgb="FF70AD47"/>
      <rgbColor rgb="FFFFC000"/>
      <rgbColor rgb="FFF59E0B"/>
      <rgbColor rgb="FFED7D31"/>
      <rgbColor rgb="FF666666"/>
      <rgbColor rgb="FF94A3B8"/>
      <rgbColor rgb="FF002060"/>
      <rgbColor rgb="FF22C55E"/>
      <rgbColor rgb="FF0F1B2D"/>
      <rgbColor rgb="FF162236"/>
      <rgbColor rgb="FF993300"/>
      <rgbColor rgb="FFEF4444"/>
      <rgbColor rgb="FF1E3A5F"/>
      <rgbColor rgb="FF1D2B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vs. Costs (N$ 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b82f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Dashboard!$D$70:$H$70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Dashboard!$D$71:$H$71</c:f>
              <c:numCache>
                <c:formatCode>General</c:formatCode>
                <c:ptCount val="5"/>
                <c:pt idx="0">
                  <c:v>73.208</c:v>
                </c:pt>
                <c:pt idx="1">
                  <c:v>66.208</c:v>
                </c:pt>
                <c:pt idx="2">
                  <c:v>66.208</c:v>
                </c:pt>
                <c:pt idx="3">
                  <c:v>66.208</c:v>
                </c:pt>
                <c:pt idx="4">
                  <c:v>66.208</c:v>
                </c:pt>
              </c:numCache>
            </c:numRef>
          </c:val>
        </c:ser>
        <c:ser>
          <c:idx val="1"/>
          <c:order val="1"/>
          <c:tx>
            <c:strRef>
              <c:f>"Costs"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22c55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Dashboard!$D$70:$H$70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Dashboard!$D$72:$H$72</c:f>
              <c:numCache>
                <c:formatCode>[$$-409]#,##0.00;[RED]\-[$$-409]#,##0.00</c:formatCode>
                <c:ptCount val="5"/>
                <c:pt idx="0">
                  <c:v>32.331327</c:v>
                </c:pt>
                <c:pt idx="1">
                  <c:v>2.41568</c:v>
                </c:pt>
                <c:pt idx="2">
                  <c:v>2.41568</c:v>
                </c:pt>
                <c:pt idx="3">
                  <c:v>2.41568</c:v>
                </c:pt>
                <c:pt idx="4">
                  <c:v>2.41568</c:v>
                </c:pt>
              </c:numCache>
            </c:numRef>
          </c:val>
        </c:ser>
        <c:gapWidth val="150"/>
        <c:overlap val="0"/>
        <c:axId val="79866367"/>
        <c:axId val="32692899"/>
      </c:barChart>
      <c:catAx>
        <c:axId val="7986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92899"/>
        <c:crosses val="autoZero"/>
        <c:auto val="1"/>
        <c:lblAlgn val="ctr"/>
        <c:lblOffset val="100"/>
        <c:noMultiLvlLbl val="0"/>
      </c:catAx>
      <c:valAx>
        <c:axId val="326928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663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11</xdr:col>
      <xdr:colOff>1056600</xdr:colOff>
      <xdr:row>22</xdr:row>
      <xdr:rowOff>204840</xdr:rowOff>
    </xdr:to>
    <xdr:graphicFrame>
      <xdr:nvGraphicFramePr>
        <xdr:cNvPr id="0" name="Chart 1"/>
        <xdr:cNvGraphicFramePr/>
      </xdr:nvGraphicFramePr>
      <xdr:xfrm>
        <a:off x="4133880" y="12096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P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5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"/>
    <col collapsed="false" customWidth="true" hidden="false" outlineLevel="0" max="10" min="6" style="0" width="12"/>
    <col collapsed="false" customWidth="true" hidden="false" outlineLevel="0" max="11" min="11" style="0" width="1"/>
    <col collapsed="false" customWidth="true" hidden="false" outlineLevel="0" max="15" min="12" style="0" width="12"/>
    <col collapsed="false" customWidth="true" hidden="false" outlineLevel="0" max="16" min="16" style="0" width="1.5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1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customFormat="false" ht="27.75" hidden="false" customHeight="true" outlineLevel="0" collapsed="false">
      <c r="A3" s="1"/>
      <c r="B3" s="1"/>
      <c r="C3" s="1"/>
      <c r="D3" s="1"/>
      <c r="E3" s="1"/>
      <c r="F3" s="3" t="s">
        <v>1</v>
      </c>
      <c r="G3" s="3"/>
      <c r="H3" s="3"/>
      <c r="I3" s="3"/>
      <c r="J3" s="1"/>
      <c r="K3" s="1"/>
      <c r="L3" s="4" t="s">
        <v>2</v>
      </c>
      <c r="M3" s="4"/>
      <c r="N3" s="4"/>
      <c r="O3" s="4"/>
      <c r="P3" s="1"/>
    </row>
    <row r="4" customFormat="false" ht="18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18" hidden="false" customHeight="true" outlineLevel="0" collapsed="false">
      <c r="A5" s="1"/>
      <c r="B5" s="5" t="s">
        <v>3</v>
      </c>
      <c r="C5" s="5"/>
      <c r="D5" s="5"/>
      <c r="E5" s="1"/>
      <c r="F5" s="1"/>
      <c r="G5" s="1"/>
      <c r="H5" s="1"/>
      <c r="I5" s="1"/>
      <c r="J5" s="1"/>
      <c r="K5" s="1"/>
      <c r="L5" s="6" t="str">
        <f aca="false">"N$"&amp;TEXT(INDEX($C$63:$G$63,1,$C$51)/1000000,"#,##0")&amp;"M"</f>
        <v>N$338M</v>
      </c>
      <c r="M5" s="6"/>
      <c r="N5" s="6" t="str">
        <f aca="false">"N$"&amp;TEXT(INDEX($C$62:$G$62,1,$C$51)/1000000,"#,##0")&amp;"M"</f>
        <v>N$296M</v>
      </c>
      <c r="O5" s="6"/>
      <c r="P5" s="1"/>
    </row>
    <row r="6" customFormat="false" ht="18" hidden="false" customHeight="true" outlineLevel="0" collapsed="false">
      <c r="A6" s="1"/>
      <c r="B6" s="7" t="s">
        <v>4</v>
      </c>
      <c r="C6" s="8" t="s">
        <v>1</v>
      </c>
      <c r="D6" s="8"/>
      <c r="E6" s="1"/>
      <c r="F6" s="1"/>
      <c r="G6" s="1"/>
      <c r="H6" s="1"/>
      <c r="I6" s="1"/>
      <c r="J6" s="1"/>
      <c r="K6" s="1"/>
      <c r="L6" s="9" t="s">
        <v>5</v>
      </c>
      <c r="M6" s="9"/>
      <c r="N6" s="9" t="s">
        <v>6</v>
      </c>
      <c r="O6" s="9"/>
      <c r="P6" s="1"/>
    </row>
    <row r="7" customFormat="false" ht="18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0" t="str">
        <f aca="false">TEXT(INDEX($C$64:$G$64,1,$C$51)*100,"0.0")&amp;"%"</f>
        <v>87.6%</v>
      </c>
      <c r="M7" s="10"/>
      <c r="N7" s="11" t="str">
        <f aca="false">TEXT(INDEX($C$65:$G$65,1,$C$51),"0.0")&amp;" months"</f>
        <v>4.2 months</v>
      </c>
      <c r="O7" s="11"/>
      <c r="P7" s="1"/>
    </row>
    <row r="8" customFormat="false" ht="18" hidden="false" customHeight="true" outlineLevel="0" collapsed="false">
      <c r="A8" s="1"/>
      <c r="B8" s="7" t="s">
        <v>7</v>
      </c>
      <c r="C8" s="12" t="s">
        <v>8</v>
      </c>
      <c r="D8" s="13" t="s">
        <v>9</v>
      </c>
      <c r="E8" s="1"/>
      <c r="F8" s="1"/>
      <c r="G8" s="1"/>
      <c r="H8" s="1"/>
      <c r="I8" s="1"/>
      <c r="J8" s="1"/>
      <c r="K8" s="1"/>
      <c r="L8" s="9" t="s">
        <v>10</v>
      </c>
      <c r="M8" s="9"/>
      <c r="N8" s="9" t="s">
        <v>11</v>
      </c>
      <c r="O8" s="9"/>
      <c r="P8" s="1"/>
    </row>
    <row r="9" customFormat="false" ht="18" hidden="false" customHeight="true" outlineLevel="0" collapsed="false">
      <c r="A9" s="1"/>
      <c r="B9" s="7" t="s">
        <v>12</v>
      </c>
      <c r="C9" s="12" t="s">
        <v>13</v>
      </c>
      <c r="D9" s="13" t="s">
        <v>14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customFormat="false" ht="18" hidden="false" customHeight="true" outlineLevel="0" collapsed="false">
      <c r="A10" s="1"/>
      <c r="B10" s="7" t="s">
        <v>15</v>
      </c>
      <c r="C10" s="12" t="str">
        <f aca="false">"N$"&amp;TEXT(INDEX($C$53:$G$53,1,$C$51),"#,##0")</f>
        <v>N$1,700</v>
      </c>
      <c r="D10" s="13" t="s">
        <v>16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customFormat="false" ht="18" hidden="false" customHeight="true" outlineLevel="0" collapsed="false">
      <c r="A11" s="1"/>
      <c r="B11" s="7" t="s">
        <v>17</v>
      </c>
      <c r="C11" s="12" t="s">
        <v>18</v>
      </c>
      <c r="D11" s="13" t="s">
        <v>19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customFormat="false" ht="18" hidden="false" customHeight="true" outlineLevel="0" collapsed="false">
      <c r="A12" s="1"/>
      <c r="B12" s="7" t="s">
        <v>20</v>
      </c>
      <c r="C12" s="12" t="str">
        <f aca="false">"N$"&amp;TEXT(INDEX($C$52:$G$52,1,$C$51)*6620.8,"#,##0")</f>
        <v>N$66,208,000</v>
      </c>
      <c r="D12" s="13" t="s">
        <v>19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customFormat="false" ht="18" hidden="false" customHeight="true" outlineLevel="0" collapsed="false">
      <c r="A13" s="1"/>
      <c r="B13" s="7" t="s">
        <v>21</v>
      </c>
      <c r="C13" s="12" t="str">
        <f aca="false">"N$"&amp;TEXT(INDEX($C$63:$G$63,1,$C$51),"#,##0")</f>
        <v>N$338,040,000</v>
      </c>
      <c r="D13" s="13" t="s">
        <v>22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customFormat="false" ht="18" hidden="false" customHeight="true" outlineLevel="0" collapsed="false">
      <c r="A14" s="1"/>
      <c r="B14" s="7" t="s">
        <v>23</v>
      </c>
      <c r="C14" s="14" t="str">
        <f aca="false">"N$"&amp;TEXT(INDEX($C$61:$G$61,1,$C$51),"#,##0")</f>
        <v>N$41,994,047</v>
      </c>
      <c r="D14" s="13" t="s">
        <v>22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customFormat="false" ht="18" hidden="false" customHeight="true" outlineLevel="0" collapsed="false">
      <c r="A15" s="1"/>
      <c r="B15" s="7" t="s">
        <v>24</v>
      </c>
      <c r="C15" s="15" t="str">
        <f aca="false">"N$"&amp;TEXT(INDEX($C$62:$G$62,1,$C$51),"#,##0")</f>
        <v>N$296,045,953</v>
      </c>
      <c r="D15" s="13" t="s">
        <v>22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customFormat="false" ht="18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customFormat="false" ht="18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customFormat="false" ht="18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customFormat="false" ht="18" hidden="false" customHeight="true" outlineLevel="0" collapsed="false">
      <c r="A19" s="1"/>
      <c r="B19" s="16" t="s">
        <v>25</v>
      </c>
      <c r="C19" s="16"/>
      <c r="D19" s="16"/>
      <c r="E19" s="1"/>
      <c r="F19" s="17" t="s">
        <v>26</v>
      </c>
      <c r="G19" s="17" t="s">
        <v>27</v>
      </c>
      <c r="H19" s="17" t="s">
        <v>28</v>
      </c>
      <c r="I19" s="17" t="s">
        <v>29</v>
      </c>
      <c r="J19" s="17" t="s">
        <v>30</v>
      </c>
      <c r="K19" s="1"/>
      <c r="L19" s="17" t="s">
        <v>31</v>
      </c>
      <c r="M19" s="17"/>
      <c r="N19" s="17"/>
      <c r="O19" s="17"/>
      <c r="P19" s="1"/>
    </row>
    <row r="20" customFormat="false" ht="18" hidden="false" customHeight="true" outlineLevel="0" collapsed="false">
      <c r="A20" s="1"/>
      <c r="B20" s="18" t="s">
        <v>32</v>
      </c>
      <c r="C20" s="18"/>
      <c r="D20" s="18"/>
      <c r="E20" s="1"/>
      <c r="F20" s="19" t="n">
        <f aca="false">INDEX($C$52:$G$52,1,$C$51)*5500</f>
        <v>55000000</v>
      </c>
      <c r="G20" s="19" t="n">
        <f aca="false">INDEX($C$52:$G$52,1,$C$51)*5500</f>
        <v>55000000</v>
      </c>
      <c r="H20" s="19" t="n">
        <f aca="false">INDEX($C$52:$G$52,1,$C$51)*5500</f>
        <v>55000000</v>
      </c>
      <c r="I20" s="19" t="n">
        <f aca="false">INDEX($C$52:$G$52,1,$C$51)*5500</f>
        <v>55000000</v>
      </c>
      <c r="J20" s="19" t="n">
        <f aca="false">INDEX($C$52:$G$52,1,$C$51)*5500</f>
        <v>55000000</v>
      </c>
      <c r="K20" s="1"/>
      <c r="L20" s="19" t="n">
        <f aca="false">INDEX($C$52:$G$52,1,$C$51)*5500*5</f>
        <v>275000000</v>
      </c>
      <c r="M20" s="19"/>
      <c r="N20" s="19"/>
      <c r="O20" s="19"/>
      <c r="P20" s="1"/>
    </row>
    <row r="21" customFormat="false" ht="18" hidden="false" customHeight="true" outlineLevel="0" collapsed="false">
      <c r="A21" s="1"/>
      <c r="B21" s="20" t="s">
        <v>33</v>
      </c>
      <c r="C21" s="20"/>
      <c r="D21" s="20"/>
      <c r="E21" s="1"/>
      <c r="F21" s="21" t="n">
        <f aca="false">INDEX($C$52:$G$52,1,$C$51)*700</f>
        <v>7000000</v>
      </c>
      <c r="G21" s="21" t="s">
        <v>34</v>
      </c>
      <c r="H21" s="21" t="s">
        <v>34</v>
      </c>
      <c r="I21" s="21" t="s">
        <v>34</v>
      </c>
      <c r="J21" s="21" t="s">
        <v>34</v>
      </c>
      <c r="K21" s="1"/>
      <c r="L21" s="21" t="n">
        <f aca="false">INDEX($C$52:$G$52,1,$C$51)*700</f>
        <v>7000000</v>
      </c>
      <c r="M21" s="21"/>
      <c r="N21" s="21"/>
      <c r="O21" s="21"/>
      <c r="P21" s="1"/>
    </row>
    <row r="22" customFormat="false" ht="18" hidden="false" customHeight="true" outlineLevel="0" collapsed="false">
      <c r="A22" s="1"/>
      <c r="B22" s="18" t="s">
        <v>35</v>
      </c>
      <c r="C22" s="18"/>
      <c r="D22" s="18"/>
      <c r="E22" s="1"/>
      <c r="F22" s="19" t="n">
        <f aca="false">INDEX($C$52:$G$52,1,$C$51)*1120.8</f>
        <v>11208000</v>
      </c>
      <c r="G22" s="19" t="n">
        <f aca="false">INDEX($C$52:$G$52,1,$C$51)*1120.8</f>
        <v>11208000</v>
      </c>
      <c r="H22" s="19" t="n">
        <f aca="false">INDEX($C$52:$G$52,1,$C$51)*1120.8</f>
        <v>11208000</v>
      </c>
      <c r="I22" s="19" t="n">
        <f aca="false">INDEX($C$52:$G$52,1,$C$51)*1120.8</f>
        <v>11208000</v>
      </c>
      <c r="J22" s="19" t="n">
        <f aca="false">INDEX($C$52:$G$52,1,$C$51)*1120.8</f>
        <v>11208000</v>
      </c>
      <c r="K22" s="1"/>
      <c r="L22" s="19" t="n">
        <f aca="false">INDEX($C$52:$G$52,1,$C$51)*1120.8*5</f>
        <v>56040000</v>
      </c>
      <c r="M22" s="19"/>
      <c r="N22" s="19"/>
      <c r="O22" s="19"/>
      <c r="P22" s="1"/>
    </row>
    <row r="23" customFormat="false" ht="18" hidden="false" customHeight="true" outlineLevel="0" collapsed="false">
      <c r="A23" s="1"/>
      <c r="B23" s="20" t="s">
        <v>36</v>
      </c>
      <c r="C23" s="20"/>
      <c r="D23" s="20"/>
      <c r="E23" s="1"/>
      <c r="F23" s="22" t="n">
        <f aca="false">-INDEX($C$54:$G$54,1,$C$51)</f>
        <v>-17899000</v>
      </c>
      <c r="G23" s="22" t="s">
        <v>34</v>
      </c>
      <c r="H23" s="22" t="s">
        <v>34</v>
      </c>
      <c r="I23" s="22" t="s">
        <v>34</v>
      </c>
      <c r="J23" s="22" t="s">
        <v>34</v>
      </c>
      <c r="K23" s="1"/>
      <c r="L23" s="22" t="n">
        <f aca="false">-INDEX($C$54:$G$54,1,$C$51)</f>
        <v>-17899000</v>
      </c>
      <c r="M23" s="22"/>
      <c r="N23" s="22"/>
      <c r="O23" s="22"/>
      <c r="P23" s="1"/>
    </row>
    <row r="24" customFormat="false" ht="18" hidden="false" customHeight="true" outlineLevel="0" collapsed="false">
      <c r="A24" s="1"/>
      <c r="B24" s="18" t="s">
        <v>37</v>
      </c>
      <c r="C24" s="18"/>
      <c r="D24" s="18"/>
      <c r="E24" s="1"/>
      <c r="F24" s="23" t="n">
        <f aca="false">-INDEX($C$55:$G$55,1,$C$51)/5</f>
        <v>-2168800</v>
      </c>
      <c r="G24" s="23" t="n">
        <f aca="false">-INDEX($C$55:$G$55,1,$C$51)/5</f>
        <v>-2168800</v>
      </c>
      <c r="H24" s="23" t="n">
        <f aca="false">-INDEX($C$55:$G$55,1,$C$51)/5</f>
        <v>-2168800</v>
      </c>
      <c r="I24" s="23" t="n">
        <f aca="false">-INDEX($C$55:$G$55,1,$C$51)/5</f>
        <v>-2168800</v>
      </c>
      <c r="J24" s="23" t="n">
        <f aca="false">-INDEX($C$55:$G$55,1,$C$51)/5</f>
        <v>-2168800</v>
      </c>
      <c r="K24" s="1"/>
      <c r="L24" s="23" t="n">
        <f aca="false">-INDEX($C$55:$G$55,1,$C$51)</f>
        <v>-10844000</v>
      </c>
      <c r="M24" s="23"/>
      <c r="N24" s="23"/>
      <c r="O24" s="23"/>
      <c r="P24" s="1"/>
    </row>
    <row r="25" customFormat="false" ht="18" hidden="false" customHeight="true" outlineLevel="0" collapsed="false">
      <c r="A25" s="1"/>
      <c r="B25" s="24" t="s">
        <v>6</v>
      </c>
      <c r="C25" s="24"/>
      <c r="D25" s="24"/>
      <c r="E25" s="1"/>
      <c r="F25" s="25" t="n">
        <f aca="false">F20+F21+F22+F23+F24</f>
        <v>53140200</v>
      </c>
      <c r="G25" s="25" t="n">
        <f aca="false">G20+G21+G22+G23+G24</f>
        <v>64039200</v>
      </c>
      <c r="H25" s="25" t="n">
        <f aca="false">H20+H21+H22+H23+H24</f>
        <v>64039200</v>
      </c>
      <c r="I25" s="25" t="n">
        <f aca="false">I20+I21+I22+I23+I24</f>
        <v>64039200</v>
      </c>
      <c r="J25" s="25" t="n">
        <f aca="false">J20+J21+J22+J23+J24</f>
        <v>64039200</v>
      </c>
      <c r="K25" s="1"/>
      <c r="L25" s="26" t="n">
        <f aca="false">INDEX($C$62:$G$62,1,$C$51)</f>
        <v>296045953</v>
      </c>
      <c r="M25" s="26"/>
      <c r="N25" s="26"/>
      <c r="O25" s="26"/>
      <c r="P25" s="1"/>
    </row>
    <row r="26" customFormat="false" ht="1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18" hidden="false" customHeight="true" outlineLevel="0" collapsed="false">
      <c r="A27" s="1"/>
      <c r="B27" s="5" t="s">
        <v>38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1"/>
    </row>
    <row r="28" customFormat="false" ht="18" hidden="false" customHeight="true" outlineLevel="0" collapsed="false">
      <c r="A28" s="1"/>
      <c r="B28" s="16" t="s">
        <v>25</v>
      </c>
      <c r="C28" s="16"/>
      <c r="D28" s="16"/>
      <c r="E28" s="1"/>
      <c r="F28" s="17" t="s">
        <v>39</v>
      </c>
      <c r="G28" s="1"/>
      <c r="H28" s="17" t="s">
        <v>40</v>
      </c>
      <c r="I28" s="1"/>
      <c r="J28" s="17" t="s">
        <v>41</v>
      </c>
      <c r="K28" s="1"/>
      <c r="L28" s="17" t="s">
        <v>42</v>
      </c>
      <c r="M28" s="1"/>
      <c r="N28" s="17" t="s">
        <v>43</v>
      </c>
      <c r="O28" s="1"/>
      <c r="P28" s="1"/>
    </row>
    <row r="29" customFormat="false" ht="18" hidden="false" customHeight="true" outlineLevel="0" collapsed="false">
      <c r="A29" s="1"/>
      <c r="B29" s="18" t="s">
        <v>44</v>
      </c>
      <c r="C29" s="18"/>
      <c r="D29" s="18"/>
      <c r="E29" s="1"/>
      <c r="F29" s="19" t="n">
        <f aca="false">C63</f>
        <v>101412000</v>
      </c>
      <c r="G29" s="1"/>
      <c r="H29" s="19" t="n">
        <f aca="false">D63</f>
        <v>169020000</v>
      </c>
      <c r="I29" s="1"/>
      <c r="J29" s="27" t="n">
        <f aca="false">E63</f>
        <v>338040000</v>
      </c>
      <c r="K29" s="1"/>
      <c r="L29" s="19" t="n">
        <f aca="false">F63</f>
        <v>676080000</v>
      </c>
      <c r="M29" s="1"/>
      <c r="N29" s="19" t="n">
        <f aca="false">G63</f>
        <v>1690200000</v>
      </c>
      <c r="O29" s="1"/>
      <c r="P29" s="1"/>
    </row>
    <row r="30" customFormat="false" ht="18" hidden="false" customHeight="true" outlineLevel="0" collapsed="false">
      <c r="A30" s="1"/>
      <c r="B30" s="20" t="s">
        <v>45</v>
      </c>
      <c r="C30" s="20"/>
      <c r="D30" s="20"/>
      <c r="E30" s="1"/>
      <c r="F30" s="22" t="n">
        <f aca="false">C61</f>
        <v>27375747</v>
      </c>
      <c r="G30" s="1"/>
      <c r="H30" s="22" t="n">
        <f aca="false">D61</f>
        <v>32329547</v>
      </c>
      <c r="I30" s="1"/>
      <c r="J30" s="28" t="n">
        <f aca="false">E61</f>
        <v>41994047</v>
      </c>
      <c r="K30" s="1"/>
      <c r="L30" s="22" t="n">
        <f aca="false">F61</f>
        <v>64218047</v>
      </c>
      <c r="M30" s="1"/>
      <c r="N30" s="22" t="n">
        <f aca="false">G61</f>
        <v>118425047</v>
      </c>
      <c r="O30" s="1"/>
      <c r="P30" s="1"/>
    </row>
    <row r="31" customFormat="false" ht="18" hidden="false" customHeight="true" outlineLevel="0" collapsed="false">
      <c r="A31" s="1"/>
      <c r="B31" s="18" t="s">
        <v>6</v>
      </c>
      <c r="C31" s="18"/>
      <c r="D31" s="18"/>
      <c r="E31" s="1"/>
      <c r="F31" s="19" t="n">
        <f aca="false">C62</f>
        <v>74036253</v>
      </c>
      <c r="G31" s="1"/>
      <c r="H31" s="19" t="n">
        <f aca="false">D62</f>
        <v>136690453</v>
      </c>
      <c r="I31" s="1"/>
      <c r="J31" s="27" t="n">
        <f aca="false">E62</f>
        <v>296045953</v>
      </c>
      <c r="K31" s="1"/>
      <c r="L31" s="19" t="n">
        <f aca="false">F62</f>
        <v>611861953</v>
      </c>
      <c r="M31" s="1"/>
      <c r="N31" s="19" t="n">
        <f aca="false">G62</f>
        <v>1571774953</v>
      </c>
      <c r="O31" s="1"/>
      <c r="P31" s="1"/>
    </row>
    <row r="32" customFormat="false" ht="18" hidden="false" customHeight="true" outlineLevel="0" collapsed="false">
      <c r="A32" s="1"/>
      <c r="B32" s="20" t="s">
        <v>10</v>
      </c>
      <c r="C32" s="20"/>
      <c r="D32" s="20"/>
      <c r="E32" s="1"/>
      <c r="F32" s="29" t="n">
        <f aca="false">C64</f>
        <v>0.730054165187552</v>
      </c>
      <c r="G32" s="1"/>
      <c r="H32" s="29" t="n">
        <f aca="false">D64</f>
        <v>0.808723541592711</v>
      </c>
      <c r="I32" s="1"/>
      <c r="J32" s="30" t="n">
        <f aca="false">E64</f>
        <v>0.87577195893977</v>
      </c>
      <c r="K32" s="1"/>
      <c r="L32" s="29" t="n">
        <f aca="false">F64</f>
        <v>0.905014129984617</v>
      </c>
      <c r="M32" s="1"/>
      <c r="N32" s="29" t="n">
        <f aca="false">G64</f>
        <v>0.929934299491184</v>
      </c>
      <c r="O32" s="1"/>
      <c r="P32" s="1"/>
    </row>
    <row r="33" customFormat="false" ht="18" hidden="false" customHeight="true" outlineLevel="0" collapsed="false">
      <c r="A33" s="1"/>
      <c r="B33" s="18" t="s">
        <v>46</v>
      </c>
      <c r="C33" s="18"/>
      <c r="D33" s="18"/>
      <c r="E33" s="1"/>
      <c r="F33" s="31" t="n">
        <f aca="false">C65</f>
        <v>7.6</v>
      </c>
      <c r="G33" s="1"/>
      <c r="H33" s="31" t="n">
        <f aca="false">D65</f>
        <v>7.2</v>
      </c>
      <c r="I33" s="1"/>
      <c r="J33" s="32" t="n">
        <f aca="false">E65</f>
        <v>4.2</v>
      </c>
      <c r="K33" s="1"/>
      <c r="L33" s="31" t="n">
        <f aca="false">F65</f>
        <v>3.9</v>
      </c>
      <c r="M33" s="1"/>
      <c r="N33" s="31" t="n">
        <f aca="false">G65</f>
        <v>3.5</v>
      </c>
      <c r="O33" s="1"/>
      <c r="P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5" hidden="false" customHeight="false" outlineLevel="0" collapsed="false">
      <c r="C50" s="33" t="s">
        <v>47</v>
      </c>
      <c r="D50" s="33" t="s">
        <v>48</v>
      </c>
      <c r="E50" s="33" t="s">
        <v>1</v>
      </c>
      <c r="F50" s="33" t="s">
        <v>49</v>
      </c>
      <c r="G50" s="33" t="s">
        <v>50</v>
      </c>
    </row>
    <row r="51" customFormat="false" ht="15" hidden="false" customHeight="false" outlineLevel="0" collapsed="false">
      <c r="C51" s="33" t="n">
        <f aca="false">MATCH($C$6,$C$50:$G$50,0)</f>
        <v>3</v>
      </c>
    </row>
    <row r="52" customFormat="false" ht="15" hidden="false" customHeight="false" outlineLevel="0" collapsed="false">
      <c r="C52" s="33" t="n">
        <v>3000</v>
      </c>
      <c r="D52" s="33" t="n">
        <v>5000</v>
      </c>
      <c r="E52" s="33" t="n">
        <v>10000</v>
      </c>
      <c r="F52" s="33" t="n">
        <v>20000</v>
      </c>
      <c r="G52" s="33" t="n">
        <v>50000</v>
      </c>
    </row>
    <row r="53" customFormat="false" ht="15" hidden="false" customHeight="false" outlineLevel="0" collapsed="false">
      <c r="C53" s="33" t="n">
        <v>2000</v>
      </c>
      <c r="D53" s="33" t="n">
        <v>2000</v>
      </c>
      <c r="E53" s="33" t="n">
        <v>1700</v>
      </c>
      <c r="F53" s="33" t="n">
        <v>1700</v>
      </c>
      <c r="G53" s="33" t="n">
        <v>1462</v>
      </c>
    </row>
    <row r="54" customFormat="false" ht="15" hidden="false" customHeight="false" outlineLevel="0" collapsed="false">
      <c r="C54" s="34" t="n">
        <f aca="false">Manufacturing!B16</f>
        <v>6269700</v>
      </c>
      <c r="D54" s="34" t="n">
        <f aca="false">Manufacturing!C16</f>
        <v>10449500</v>
      </c>
      <c r="E54" s="34" t="n">
        <f aca="false">Manufacturing!D16</f>
        <v>17899000</v>
      </c>
      <c r="F54" s="34" t="n">
        <f aca="false">Manufacturing!E16</f>
        <v>35798000</v>
      </c>
      <c r="G54" s="34" t="n">
        <f aca="false">Manufacturing!F16</f>
        <v>77595000</v>
      </c>
    </row>
    <row r="55" customFormat="false" ht="15" hidden="false" customHeight="false" outlineLevel="0" collapsed="false">
      <c r="C55" s="34" t="n">
        <f aca="false">'Operating Costs'!B14</f>
        <v>8914000</v>
      </c>
      <c r="D55" s="34" t="n">
        <f aca="false">'Operating Costs'!C14</f>
        <v>9444000</v>
      </c>
      <c r="E55" s="34" t="n">
        <f aca="false">'Operating Costs'!D14</f>
        <v>10844000</v>
      </c>
      <c r="F55" s="34" t="n">
        <f aca="false">'Operating Costs'!E14</f>
        <v>13644000</v>
      </c>
      <c r="G55" s="34" t="n">
        <f aca="false">'Operating Costs'!F14</f>
        <v>21894000</v>
      </c>
    </row>
    <row r="56" customFormat="false" ht="15" hidden="false" customHeight="false" outlineLevel="0" collapsed="false">
      <c r="C56" s="34" t="n">
        <f aca="false">Implementation!B9</f>
        <v>1500000</v>
      </c>
      <c r="D56" s="34" t="n">
        <f aca="false">Implementation!C9</f>
        <v>1500000</v>
      </c>
      <c r="E56" s="34" t="n">
        <f aca="false">Implementation!D9</f>
        <v>1500000</v>
      </c>
      <c r="F56" s="34" t="n">
        <f aca="false">Implementation!E9</f>
        <v>1500000</v>
      </c>
      <c r="G56" s="34" t="n">
        <f aca="false">Implementation!F9</f>
        <v>1500000</v>
      </c>
    </row>
    <row r="57" customFormat="false" ht="15" hidden="false" customHeight="false" outlineLevel="0" collapsed="false">
      <c r="C57" s="34" t="n">
        <f aca="false">Equipment!B11</f>
        <v>1099000</v>
      </c>
      <c r="D57" s="34" t="n">
        <f aca="false">Equipment!C11</f>
        <v>1290000</v>
      </c>
      <c r="E57" s="34" t="n">
        <f aca="false">Equipment!D11</f>
        <v>1965000</v>
      </c>
      <c r="F57" s="34" t="n">
        <f aca="false">Equipment!E11</f>
        <v>3210000</v>
      </c>
      <c r="G57" s="34" t="n">
        <f aca="false">Equipment!F11</f>
        <v>6545000</v>
      </c>
    </row>
    <row r="58" customFormat="false" ht="15" hidden="false" customHeight="false" outlineLevel="0" collapsed="false">
      <c r="C58" s="34" t="n">
        <f aca="false">Development!B14</f>
        <v>7851647</v>
      </c>
      <c r="D58" s="34" t="n">
        <f aca="false">Development!C14</f>
        <v>7851647</v>
      </c>
      <c r="E58" s="34" t="n">
        <f aca="false">Development!D14</f>
        <v>7851647</v>
      </c>
      <c r="F58" s="34" t="n">
        <f aca="false">Development!E14</f>
        <v>7851647</v>
      </c>
      <c r="G58" s="34" t="n">
        <f aca="false">Development!F14</f>
        <v>7851647</v>
      </c>
    </row>
    <row r="59" customFormat="false" ht="15" hidden="false" customHeight="false" outlineLevel="0" collapsed="false">
      <c r="C59" s="34" t="n">
        <f aca="false">Financing!B7</f>
        <v>700000</v>
      </c>
      <c r="D59" s="34" t="n">
        <f aca="false">Financing!C7</f>
        <v>700000</v>
      </c>
      <c r="E59" s="34" t="n">
        <f aca="false">Financing!D7</f>
        <v>700000</v>
      </c>
      <c r="F59" s="34" t="n">
        <f aca="false">Financing!E7</f>
        <v>700000</v>
      </c>
      <c r="G59" s="34" t="n">
        <f aca="false">Financing!F7</f>
        <v>700000</v>
      </c>
    </row>
    <row r="60" customFormat="false" ht="15" hidden="false" customHeight="false" outlineLevel="0" collapsed="false">
      <c r="C60" s="34" t="n">
        <f aca="false">Financing!B13</f>
        <v>1041400</v>
      </c>
      <c r="D60" s="34" t="n">
        <f aca="false">Financing!C13</f>
        <v>1094400</v>
      </c>
      <c r="E60" s="34" t="n">
        <f aca="false">Financing!D13</f>
        <v>1234400</v>
      </c>
      <c r="F60" s="34" t="n">
        <f aca="false">Financing!E13</f>
        <v>1514400</v>
      </c>
      <c r="G60" s="34" t="n">
        <f aca="false">Financing!F13</f>
        <v>2339400</v>
      </c>
    </row>
    <row r="61" customFormat="false" ht="15" hidden="false" customHeight="false" outlineLevel="0" collapsed="false">
      <c r="C61" s="34" t="n">
        <f aca="false">SUM(C54:C60)</f>
        <v>27375747</v>
      </c>
      <c r="D61" s="34" t="n">
        <f aca="false">SUM(D54:D60)</f>
        <v>32329547</v>
      </c>
      <c r="E61" s="34" t="n">
        <f aca="false">SUM(E54:E60)</f>
        <v>41994047</v>
      </c>
      <c r="F61" s="34" t="n">
        <f aca="false">SUM(F54:F60)</f>
        <v>64218047</v>
      </c>
      <c r="G61" s="34" t="n">
        <f aca="false">SUM(G54:G60)</f>
        <v>118425047</v>
      </c>
    </row>
    <row r="62" customFormat="false" ht="15" hidden="false" customHeight="false" outlineLevel="0" collapsed="false">
      <c r="C62" s="34" t="n">
        <f aca="false">C63-C61</f>
        <v>74036253</v>
      </c>
      <c r="D62" s="34" t="n">
        <f aca="false">D63-D61</f>
        <v>136690453</v>
      </c>
      <c r="E62" s="34" t="n">
        <f aca="false">E63-E61</f>
        <v>296045953</v>
      </c>
      <c r="F62" s="34" t="n">
        <f aca="false">F63-F61</f>
        <v>611861953</v>
      </c>
      <c r="G62" s="34" t="n">
        <f aca="false">G63-G61</f>
        <v>1571774953</v>
      </c>
    </row>
    <row r="63" customFormat="false" ht="15" hidden="false" customHeight="false" outlineLevel="0" collapsed="false">
      <c r="C63" s="34" t="n">
        <f aca="false">Revenue!B34</f>
        <v>101412000</v>
      </c>
      <c r="D63" s="34" t="n">
        <f aca="false">Revenue!C34</f>
        <v>169020000</v>
      </c>
      <c r="E63" s="34" t="n">
        <f aca="false">Revenue!D34</f>
        <v>338040000</v>
      </c>
      <c r="F63" s="34" t="n">
        <f aca="false">Revenue!E34</f>
        <v>676080000</v>
      </c>
      <c r="G63" s="34" t="n">
        <f aca="false">Revenue!F34</f>
        <v>1690200000</v>
      </c>
    </row>
    <row r="64" customFormat="false" ht="15" hidden="false" customHeight="false" outlineLevel="0" collapsed="false">
      <c r="C64" s="33" t="n">
        <f aca="false">IF(C63&gt;0,C62/C63,0)</f>
        <v>0.730054165187552</v>
      </c>
      <c r="D64" s="33" t="n">
        <f aca="false">IF(D63&gt;0,D62/D63,0)</f>
        <v>0.808723541592711</v>
      </c>
      <c r="E64" s="33" t="n">
        <f aca="false">IF(E63&gt;0,E62/E63,0)</f>
        <v>0.87577195893977</v>
      </c>
      <c r="F64" s="33" t="n">
        <f aca="false">IF(F63&gt;0,F62/F63,0)</f>
        <v>0.905014129984617</v>
      </c>
      <c r="G64" s="33" t="n">
        <f aca="false">IF(G63&gt;0,G62/G63,0)</f>
        <v>0.929934299491184</v>
      </c>
    </row>
    <row r="65" customFormat="false" ht="15" hidden="false" customHeight="false" outlineLevel="0" collapsed="false">
      <c r="C65" s="33" t="n">
        <v>7.6</v>
      </c>
      <c r="D65" s="33" t="n">
        <v>7.2</v>
      </c>
      <c r="E65" s="33" t="n">
        <v>4.2</v>
      </c>
      <c r="F65" s="33" t="n">
        <v>3.9</v>
      </c>
      <c r="G65" s="33" t="n">
        <v>3.5</v>
      </c>
    </row>
    <row r="66" customFormat="false" ht="15" hidden="false" customHeight="false" outlineLevel="0" collapsed="false">
      <c r="C66" s="33" t="n">
        <v>65500000</v>
      </c>
      <c r="D66" s="33" t="n">
        <v>119300000</v>
      </c>
      <c r="E66" s="33" t="n">
        <v>259647182</v>
      </c>
      <c r="F66" s="33" t="n">
        <v>538200000</v>
      </c>
      <c r="G66" s="33" t="n">
        <v>1390000000</v>
      </c>
    </row>
    <row r="70" customFormat="false" ht="15" hidden="false" customHeight="false" outlineLevel="0" collapsed="false">
      <c r="D70" s="33" t="s">
        <v>26</v>
      </c>
      <c r="E70" s="33" t="s">
        <v>27</v>
      </c>
      <c r="F70" s="33" t="s">
        <v>28</v>
      </c>
      <c r="G70" s="33" t="s">
        <v>29</v>
      </c>
      <c r="H70" s="33" t="s">
        <v>30</v>
      </c>
    </row>
    <row r="71" customFormat="false" ht="15" hidden="false" customHeight="false" outlineLevel="0" collapsed="false">
      <c r="C71" s="33" t="s">
        <v>51</v>
      </c>
      <c r="D71" s="35" t="n">
        <f aca="false">INDEX($C$52:$G$52,1,$C$51)*7320.8/1000000</f>
        <v>73.208</v>
      </c>
      <c r="E71" s="35" t="n">
        <f aca="false">INDEX($C$52:$G$52,1,$C$51)*6620.8/1000000</f>
        <v>66.208</v>
      </c>
      <c r="F71" s="35" t="n">
        <f aca="false">INDEX($C$52:$G$52,1,$C$51)*6620.8/1000000</f>
        <v>66.208</v>
      </c>
      <c r="G71" s="35" t="n">
        <f aca="false">INDEX($C$52:$G$52,1,$C$51)*6620.8/1000000</f>
        <v>66.208</v>
      </c>
      <c r="H71" s="35" t="n">
        <f aca="false">INDEX($C$52:$G$52,1,$C$51)*6620.8/1000000</f>
        <v>66.208</v>
      </c>
    </row>
    <row r="72" customFormat="false" ht="15" hidden="false" customHeight="false" outlineLevel="0" collapsed="false">
      <c r="C72" s="33" t="s">
        <v>52</v>
      </c>
      <c r="D72" s="36" t="n">
        <f aca="false">(INDEX($C$54:$G$54,1,$C$51)+INDEX($C$55:$G$55,1,$C$51)/5+INDEX($C$56:$G$56,1,$C$51)+INDEX($C$57:$G$57,1,$C$51)+INDEX($C$58:$G$58,1,$C$51)+INDEX($C$59:$G$59,1,$C$51)+INDEX($C$60:$G$60,1,$C$51)/5)/1000000</f>
        <v>32.331327</v>
      </c>
      <c r="E72" s="36" t="n">
        <f aca="false">(INDEX($C$55:$G$55,1,$C$51)/5+INDEX($C$60:$G$60,1,$C$51)/5)/1000000</f>
        <v>2.41568</v>
      </c>
      <c r="F72" s="36" t="n">
        <f aca="false">(INDEX($C$55:$G$55,1,$C$51)/5+INDEX($C$60:$G$60,1,$C$51)/5)/1000000</f>
        <v>2.41568</v>
      </c>
      <c r="G72" s="36" t="n">
        <f aca="false">(INDEX($C$55:$G$55,1,$C$51)/5+INDEX($C$60:$G$60,1,$C$51)/5)/1000000</f>
        <v>2.41568</v>
      </c>
      <c r="H72" s="36" t="n">
        <f aca="false">(INDEX($C$55:$G$55,1,$C$51)/5+INDEX($C$60:$G$60,1,$C$51)/5)/1000000</f>
        <v>2.41568</v>
      </c>
    </row>
    <row r="73" customFormat="false" ht="15" hidden="false" customHeight="false" outlineLevel="0" collapsed="false">
      <c r="C73" s="33" t="s">
        <v>53</v>
      </c>
      <c r="D73" s="36" t="n">
        <f aca="false">D71-D72</f>
        <v>40.876673</v>
      </c>
      <c r="E73" s="36" t="n">
        <f aca="false">E71-E72</f>
        <v>63.79232</v>
      </c>
      <c r="F73" s="36" t="n">
        <f aca="false">F71-F72</f>
        <v>63.79232</v>
      </c>
      <c r="G73" s="36" t="n">
        <f aca="false">G71-G72</f>
        <v>63.79232</v>
      </c>
      <c r="H73" s="36" t="n">
        <f aca="false">H71-H72</f>
        <v>63.79232</v>
      </c>
    </row>
  </sheetData>
  <mergeCells count="34">
    <mergeCell ref="B2:O2"/>
    <mergeCell ref="F3:I3"/>
    <mergeCell ref="L3:O3"/>
    <mergeCell ref="B5:D5"/>
    <mergeCell ref="L5:M5"/>
    <mergeCell ref="N5:O5"/>
    <mergeCell ref="C6:D6"/>
    <mergeCell ref="L6:M6"/>
    <mergeCell ref="N6:O6"/>
    <mergeCell ref="L7:M7"/>
    <mergeCell ref="N7:O7"/>
    <mergeCell ref="L8:M8"/>
    <mergeCell ref="N8:O8"/>
    <mergeCell ref="B19:D19"/>
    <mergeCell ref="L19:O19"/>
    <mergeCell ref="B20:D20"/>
    <mergeCell ref="L20:O20"/>
    <mergeCell ref="B21:D21"/>
    <mergeCell ref="L21:O21"/>
    <mergeCell ref="B22:D22"/>
    <mergeCell ref="L22:O22"/>
    <mergeCell ref="B23:D23"/>
    <mergeCell ref="L23:O23"/>
    <mergeCell ref="B24:D24"/>
    <mergeCell ref="L24:O24"/>
    <mergeCell ref="B25:D25"/>
    <mergeCell ref="L25:O25"/>
    <mergeCell ref="B27:O27"/>
    <mergeCell ref="B28:D28"/>
    <mergeCell ref="B29:D29"/>
    <mergeCell ref="B30:D30"/>
    <mergeCell ref="B31:D31"/>
    <mergeCell ref="B32:D32"/>
    <mergeCell ref="B33:D33"/>
  </mergeCells>
  <dataValidations count="1">
    <dataValidation allowBlank="false" errorStyle="stop" operator="between" prompt="Select scenario" promptTitle="Rollout" showDropDown="false" showErrorMessage="false" showInputMessage="false" sqref="C6" type="list">
      <formula1>$C$50:$G$50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22"/>
  </cols>
  <sheetData>
    <row r="1" customFormat="false" ht="17.35" hidden="false" customHeight="false" outlineLevel="0" collapsed="false">
      <c r="A1" s="37" t="s">
        <v>54</v>
      </c>
    </row>
    <row r="3" customFormat="false" ht="15" hidden="false" customHeight="false" outlineLevel="0" collapsed="false">
      <c r="A3" s="38" t="s">
        <v>55</v>
      </c>
      <c r="B3" s="38" t="s">
        <v>56</v>
      </c>
      <c r="C3" s="38" t="s">
        <v>57</v>
      </c>
      <c r="D3" s="38" t="s">
        <v>58</v>
      </c>
      <c r="E3" s="38" t="s">
        <v>59</v>
      </c>
    </row>
    <row r="4" customFormat="false" ht="15" hidden="false" customHeight="false" outlineLevel="0" collapsed="false">
      <c r="A4" s="39" t="s">
        <v>60</v>
      </c>
      <c r="B4" s="39" t="s">
        <v>61</v>
      </c>
      <c r="C4" s="39" t="s">
        <v>62</v>
      </c>
      <c r="D4" s="39" t="s">
        <v>63</v>
      </c>
      <c r="E4" s="40" t="n">
        <v>5500</v>
      </c>
    </row>
    <row r="5" customFormat="false" ht="15" hidden="false" customHeight="false" outlineLevel="0" collapsed="false">
      <c r="A5" s="39" t="s">
        <v>64</v>
      </c>
      <c r="B5" s="39" t="s">
        <v>65</v>
      </c>
      <c r="C5" s="39" t="s">
        <v>62</v>
      </c>
      <c r="D5" s="39" t="s">
        <v>66</v>
      </c>
      <c r="E5" s="40" t="n">
        <v>700</v>
      </c>
    </row>
    <row r="6" customFormat="false" ht="15" hidden="false" customHeight="false" outlineLevel="0" collapsed="false">
      <c r="A6" s="39" t="s">
        <v>67</v>
      </c>
      <c r="B6" s="39" t="s">
        <v>68</v>
      </c>
      <c r="C6" s="39" t="s">
        <v>62</v>
      </c>
      <c r="D6" s="39" t="s">
        <v>69</v>
      </c>
      <c r="E6" s="40" t="n">
        <v>300</v>
      </c>
    </row>
    <row r="7" customFormat="false" ht="15" hidden="false" customHeight="false" outlineLevel="0" collapsed="false">
      <c r="A7" s="39" t="s">
        <v>70</v>
      </c>
      <c r="B7" s="39" t="s">
        <v>71</v>
      </c>
      <c r="C7" s="39" t="s">
        <v>72</v>
      </c>
      <c r="D7" s="39" t="s">
        <v>73</v>
      </c>
      <c r="E7" s="40" t="n">
        <v>90</v>
      </c>
    </row>
    <row r="8" customFormat="false" ht="15" hidden="false" customHeight="false" outlineLevel="0" collapsed="false">
      <c r="A8" s="39" t="s">
        <v>74</v>
      </c>
      <c r="B8" s="39" t="s">
        <v>75</v>
      </c>
      <c r="C8" s="39" t="s">
        <v>76</v>
      </c>
      <c r="D8" s="39" t="s">
        <v>77</v>
      </c>
      <c r="E8" s="40" t="n">
        <v>30</v>
      </c>
    </row>
    <row r="9" customFormat="false" ht="15" hidden="false" customHeight="false" outlineLevel="0" collapsed="false">
      <c r="A9" s="39" t="s">
        <v>78</v>
      </c>
      <c r="B9" s="39" t="s">
        <v>79</v>
      </c>
      <c r="C9" s="39" t="s">
        <v>80</v>
      </c>
      <c r="D9" s="39" t="s">
        <v>81</v>
      </c>
      <c r="E9" s="40" t="n">
        <v>624</v>
      </c>
    </row>
    <row r="10" customFormat="false" ht="15" hidden="false" customHeight="false" outlineLevel="0" collapsed="false">
      <c r="A10" s="39" t="s">
        <v>82</v>
      </c>
      <c r="B10" s="39" t="s">
        <v>83</v>
      </c>
      <c r="C10" s="39" t="s">
        <v>84</v>
      </c>
      <c r="D10" s="39" t="s">
        <v>85</v>
      </c>
      <c r="E10" s="40" t="n">
        <v>76.8</v>
      </c>
    </row>
    <row r="11" customFormat="false" ht="15" hidden="false" customHeight="false" outlineLevel="0" collapsed="false">
      <c r="A11" s="41" t="s">
        <v>86</v>
      </c>
      <c r="B11" s="42"/>
      <c r="C11" s="42"/>
      <c r="D11" s="42"/>
      <c r="E11" s="43" t="n">
        <f aca="false">E4+E6+E7+E8+E9+E10</f>
        <v>6620.8</v>
      </c>
    </row>
    <row r="12" customFormat="false" ht="15" hidden="false" customHeight="false" outlineLevel="0" collapsed="false">
      <c r="A12" s="41" t="s">
        <v>87</v>
      </c>
      <c r="B12" s="42"/>
      <c r="C12" s="42"/>
      <c r="D12" s="42"/>
      <c r="E12" s="43" t="n">
        <f aca="false">E11+E5</f>
        <v>7320.8</v>
      </c>
    </row>
    <row r="14" customFormat="false" ht="17.35" hidden="false" customHeight="false" outlineLevel="0" collapsed="false">
      <c r="A14" s="37" t="s">
        <v>88</v>
      </c>
    </row>
    <row r="16" customFormat="false" ht="28.35" hidden="false" customHeight="false" outlineLevel="0" collapsed="false">
      <c r="A16" s="38" t="s">
        <v>89</v>
      </c>
      <c r="B16" s="38" t="s">
        <v>47</v>
      </c>
      <c r="C16" s="38" t="s">
        <v>48</v>
      </c>
      <c r="D16" s="38" t="s">
        <v>1</v>
      </c>
      <c r="E16" s="38" t="s">
        <v>49</v>
      </c>
      <c r="F16" s="38" t="s">
        <v>50</v>
      </c>
    </row>
    <row r="17" customFormat="false" ht="15" hidden="false" customHeight="false" outlineLevel="0" collapsed="false">
      <c r="A17" s="39" t="s">
        <v>27</v>
      </c>
      <c r="B17" s="44" t="n">
        <v>19862400</v>
      </c>
      <c r="C17" s="44" t="n">
        <v>33104000</v>
      </c>
      <c r="D17" s="44" t="n">
        <v>66208000</v>
      </c>
      <c r="E17" s="44" t="n">
        <v>132416000</v>
      </c>
      <c r="F17" s="44" t="n">
        <v>331040000</v>
      </c>
    </row>
    <row r="18" customFormat="false" ht="15" hidden="false" customHeight="false" outlineLevel="0" collapsed="false">
      <c r="A18" s="39" t="s">
        <v>28</v>
      </c>
      <c r="B18" s="44" t="n">
        <v>19862400</v>
      </c>
      <c r="C18" s="44" t="n">
        <v>33104000</v>
      </c>
      <c r="D18" s="44" t="n">
        <v>66208000</v>
      </c>
      <c r="E18" s="44" t="n">
        <v>132416000</v>
      </c>
      <c r="F18" s="44" t="n">
        <v>331040000</v>
      </c>
    </row>
    <row r="19" customFormat="false" ht="15" hidden="false" customHeight="false" outlineLevel="0" collapsed="false">
      <c r="A19" s="39" t="s">
        <v>29</v>
      </c>
      <c r="B19" s="44" t="n">
        <v>19862400</v>
      </c>
      <c r="C19" s="44" t="n">
        <v>33104000</v>
      </c>
      <c r="D19" s="44" t="n">
        <v>66208000</v>
      </c>
      <c r="E19" s="44" t="n">
        <v>132416000</v>
      </c>
      <c r="F19" s="44" t="n">
        <v>331040000</v>
      </c>
    </row>
    <row r="20" customFormat="false" ht="15" hidden="false" customHeight="false" outlineLevel="0" collapsed="false">
      <c r="A20" s="39" t="s">
        <v>30</v>
      </c>
      <c r="B20" s="44" t="n">
        <v>19862400</v>
      </c>
      <c r="C20" s="44" t="n">
        <v>33104000</v>
      </c>
      <c r="D20" s="44" t="n">
        <v>66208000</v>
      </c>
      <c r="E20" s="44" t="n">
        <v>132416000</v>
      </c>
      <c r="F20" s="44" t="n">
        <v>331040000</v>
      </c>
    </row>
    <row r="22" customFormat="false" ht="15" hidden="false" customHeight="false" outlineLevel="0" collapsed="false">
      <c r="A22" s="45" t="s">
        <v>31</v>
      </c>
      <c r="B22" s="46" t="n">
        <f aca="false">SUM(B17:B21)</f>
        <v>79449600</v>
      </c>
      <c r="C22" s="46" t="n">
        <f aca="false">SUM(C17:C21)</f>
        <v>132416000</v>
      </c>
      <c r="D22" s="46" t="n">
        <f aca="false">SUM(D17:D21)</f>
        <v>264832000</v>
      </c>
      <c r="E22" s="46" t="n">
        <f aca="false">SUM(E17:E21)</f>
        <v>529664000</v>
      </c>
      <c r="F22" s="46" t="n">
        <f aca="false">SUM(F17:F21)</f>
        <v>1324160000</v>
      </c>
    </row>
    <row r="24" customFormat="false" ht="17.35" hidden="false" customHeight="false" outlineLevel="0" collapsed="false">
      <c r="A24" s="37" t="s">
        <v>90</v>
      </c>
    </row>
    <row r="26" customFormat="false" ht="28.35" hidden="false" customHeight="false" outlineLevel="0" collapsed="false">
      <c r="A26" s="38" t="s">
        <v>55</v>
      </c>
      <c r="B26" s="38" t="s">
        <v>47</v>
      </c>
      <c r="C26" s="38" t="s">
        <v>48</v>
      </c>
      <c r="D26" s="38" t="s">
        <v>1</v>
      </c>
      <c r="E26" s="38" t="s">
        <v>49</v>
      </c>
      <c r="F26" s="38" t="s">
        <v>50</v>
      </c>
    </row>
    <row r="27" customFormat="false" ht="15" hidden="false" customHeight="false" outlineLevel="0" collapsed="false">
      <c r="A27" s="39" t="s">
        <v>91</v>
      </c>
      <c r="B27" s="44" t="n">
        <v>82500000</v>
      </c>
      <c r="C27" s="44" t="n">
        <v>137500000</v>
      </c>
      <c r="D27" s="44" t="n">
        <v>275000000</v>
      </c>
      <c r="E27" s="44" t="n">
        <v>550000000</v>
      </c>
      <c r="F27" s="44" t="n">
        <v>1375000000</v>
      </c>
    </row>
    <row r="28" customFormat="false" ht="15" hidden="false" customHeight="false" outlineLevel="0" collapsed="false">
      <c r="A28" s="39" t="s">
        <v>92</v>
      </c>
      <c r="B28" s="44" t="n">
        <v>2100000</v>
      </c>
      <c r="C28" s="44" t="n">
        <v>3500000</v>
      </c>
      <c r="D28" s="44" t="n">
        <v>7000000</v>
      </c>
      <c r="E28" s="44" t="n">
        <v>14000000</v>
      </c>
      <c r="F28" s="44" t="n">
        <v>35000000</v>
      </c>
    </row>
    <row r="29" customFormat="false" ht="15" hidden="false" customHeight="false" outlineLevel="0" collapsed="false">
      <c r="A29" s="39" t="s">
        <v>93</v>
      </c>
      <c r="B29" s="44" t="n">
        <v>4500000</v>
      </c>
      <c r="C29" s="44" t="n">
        <v>7500000</v>
      </c>
      <c r="D29" s="44" t="n">
        <v>15000000</v>
      </c>
      <c r="E29" s="44" t="n">
        <v>30000000</v>
      </c>
      <c r="F29" s="44" t="n">
        <v>75000000</v>
      </c>
    </row>
    <row r="30" customFormat="false" ht="15" hidden="false" customHeight="false" outlineLevel="0" collapsed="false">
      <c r="A30" s="39" t="s">
        <v>94</v>
      </c>
      <c r="B30" s="44" t="n">
        <v>1350000</v>
      </c>
      <c r="C30" s="44" t="n">
        <v>2250000</v>
      </c>
      <c r="D30" s="44" t="n">
        <v>4500000</v>
      </c>
      <c r="E30" s="44" t="n">
        <v>9000000</v>
      </c>
      <c r="F30" s="44" t="n">
        <v>22500000</v>
      </c>
    </row>
    <row r="31" customFormat="false" ht="15" hidden="false" customHeight="false" outlineLevel="0" collapsed="false">
      <c r="A31" s="39" t="s">
        <v>95</v>
      </c>
      <c r="B31" s="44" t="n">
        <v>450000</v>
      </c>
      <c r="C31" s="44" t="n">
        <v>750000</v>
      </c>
      <c r="D31" s="44" t="n">
        <v>1500000</v>
      </c>
      <c r="E31" s="44" t="n">
        <v>3000000</v>
      </c>
      <c r="F31" s="44" t="n">
        <v>7500000</v>
      </c>
    </row>
    <row r="32" customFormat="false" ht="15" hidden="false" customHeight="false" outlineLevel="0" collapsed="false">
      <c r="A32" s="39" t="s">
        <v>96</v>
      </c>
      <c r="B32" s="44" t="n">
        <v>9360000</v>
      </c>
      <c r="C32" s="44" t="n">
        <v>15600000</v>
      </c>
      <c r="D32" s="44" t="n">
        <v>31200000</v>
      </c>
      <c r="E32" s="44" t="n">
        <v>62400000</v>
      </c>
      <c r="F32" s="44" t="n">
        <v>156000000</v>
      </c>
    </row>
    <row r="33" customFormat="false" ht="15" hidden="false" customHeight="false" outlineLevel="0" collapsed="false">
      <c r="A33" s="39" t="s">
        <v>97</v>
      </c>
      <c r="B33" s="44" t="n">
        <v>1152000</v>
      </c>
      <c r="C33" s="44" t="n">
        <v>1920000</v>
      </c>
      <c r="D33" s="44" t="n">
        <v>3840000</v>
      </c>
      <c r="E33" s="44" t="n">
        <v>7680000</v>
      </c>
      <c r="F33" s="44" t="n">
        <v>19200000</v>
      </c>
    </row>
    <row r="34" customFormat="false" ht="15" hidden="false" customHeight="false" outlineLevel="0" collapsed="false">
      <c r="A34" s="45" t="s">
        <v>98</v>
      </c>
      <c r="B34" s="46" t="n">
        <f aca="false">SUM(B27:B33)</f>
        <v>101412000</v>
      </c>
      <c r="C34" s="46" t="n">
        <f aca="false">SUM(C27:C33)</f>
        <v>169020000</v>
      </c>
      <c r="D34" s="46" t="n">
        <f aca="false">SUM(D27:D33)</f>
        <v>338040000</v>
      </c>
      <c r="E34" s="46" t="n">
        <f aca="false">SUM(E27:E33)</f>
        <v>676080000</v>
      </c>
      <c r="F34" s="46" t="n">
        <f aca="false">SUM(F27:F33)</f>
        <v>1690200000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37" t="s">
        <v>99</v>
      </c>
    </row>
    <row r="3" customFormat="false" ht="15" hidden="false" customHeight="false" outlineLevel="0" collapsed="false">
      <c r="A3" s="47" t="s">
        <v>100</v>
      </c>
      <c r="B3" s="48"/>
      <c r="C3" s="48"/>
      <c r="D3" s="48"/>
      <c r="E3" s="48"/>
    </row>
    <row r="5" customFormat="false" ht="15" hidden="false" customHeight="false" outlineLevel="0" collapsed="false">
      <c r="A5" s="38" t="s">
        <v>101</v>
      </c>
      <c r="B5" s="38" t="s">
        <v>102</v>
      </c>
      <c r="C5" s="38" t="s">
        <v>103</v>
      </c>
      <c r="D5" s="38" t="s">
        <v>104</v>
      </c>
    </row>
    <row r="6" customFormat="false" ht="15" hidden="false" customHeight="false" outlineLevel="0" collapsed="false">
      <c r="A6" s="39" t="s">
        <v>105</v>
      </c>
      <c r="B6" s="39" t="s">
        <v>106</v>
      </c>
      <c r="C6" s="44" t="n">
        <v>2000</v>
      </c>
      <c r="D6" s="39" t="s">
        <v>107</v>
      </c>
    </row>
    <row r="7" customFormat="false" ht="15" hidden="false" customHeight="false" outlineLevel="0" collapsed="false">
      <c r="A7" s="39" t="s">
        <v>108</v>
      </c>
      <c r="B7" s="39" t="s">
        <v>109</v>
      </c>
      <c r="C7" s="44" t="n">
        <v>1700</v>
      </c>
      <c r="D7" s="39" t="s">
        <v>110</v>
      </c>
    </row>
    <row r="8" customFormat="false" ht="15" hidden="false" customHeight="false" outlineLevel="0" collapsed="false">
      <c r="A8" s="39" t="s">
        <v>111</v>
      </c>
      <c r="B8" s="39" t="s">
        <v>72</v>
      </c>
      <c r="C8" s="44" t="n">
        <v>1400</v>
      </c>
      <c r="D8" s="39" t="s">
        <v>112</v>
      </c>
    </row>
    <row r="9" customFormat="false" ht="15" hidden="false" customHeight="false" outlineLevel="0" collapsed="false">
      <c r="A9" s="39" t="s">
        <v>113</v>
      </c>
      <c r="B9" s="39" t="s">
        <v>114</v>
      </c>
      <c r="C9" s="44" t="n">
        <v>1462</v>
      </c>
      <c r="D9" s="39" t="s">
        <v>115</v>
      </c>
    </row>
    <row r="11" customFormat="false" ht="15" hidden="false" customHeight="false" outlineLevel="0" collapsed="false">
      <c r="A11" s="49" t="s">
        <v>116</v>
      </c>
      <c r="B11" s="50"/>
      <c r="C11" s="50"/>
      <c r="D11" s="50"/>
      <c r="E11" s="50"/>
      <c r="F11" s="50"/>
    </row>
    <row r="13" customFormat="false" ht="15" hidden="false" customHeight="false" outlineLevel="0" collapsed="false">
      <c r="A13" s="38" t="s">
        <v>117</v>
      </c>
      <c r="B13" s="38" t="s">
        <v>47</v>
      </c>
      <c r="C13" s="38" t="s">
        <v>48</v>
      </c>
      <c r="D13" s="38" t="s">
        <v>1</v>
      </c>
      <c r="E13" s="38" t="s">
        <v>49</v>
      </c>
      <c r="F13" s="38" t="s">
        <v>50</v>
      </c>
    </row>
    <row r="14" customFormat="false" ht="15" hidden="false" customHeight="false" outlineLevel="0" collapsed="false">
      <c r="A14" s="39" t="s">
        <v>118</v>
      </c>
      <c r="B14" s="44" t="n">
        <v>6000000</v>
      </c>
      <c r="C14" s="44" t="n">
        <v>10000000</v>
      </c>
      <c r="D14" s="44" t="n">
        <v>17000000</v>
      </c>
      <c r="E14" s="44" t="n">
        <v>34000000</v>
      </c>
      <c r="F14" s="44" t="n">
        <v>73100000</v>
      </c>
    </row>
    <row r="15" customFormat="false" ht="15" hidden="false" customHeight="false" outlineLevel="0" collapsed="false">
      <c r="A15" s="39" t="s">
        <v>119</v>
      </c>
      <c r="B15" s="44" t="n">
        <v>269700</v>
      </c>
      <c r="C15" s="44" t="n">
        <v>449500</v>
      </c>
      <c r="D15" s="44" t="n">
        <v>899000</v>
      </c>
      <c r="E15" s="44" t="n">
        <v>1798000</v>
      </c>
      <c r="F15" s="44" t="n">
        <v>4495000</v>
      </c>
    </row>
    <row r="16" customFormat="false" ht="15" hidden="false" customHeight="false" outlineLevel="0" collapsed="false">
      <c r="A16" s="45" t="s">
        <v>120</v>
      </c>
      <c r="B16" s="46" t="n">
        <f aca="false">SUM(B14:B15)</f>
        <v>6269700</v>
      </c>
      <c r="C16" s="46" t="n">
        <f aca="false">SUM(C14:C15)</f>
        <v>10449500</v>
      </c>
      <c r="D16" s="46" t="n">
        <f aca="false">SUM(D14:D15)</f>
        <v>17899000</v>
      </c>
      <c r="E16" s="46" t="n">
        <f aca="false">SUM(E14:E15)</f>
        <v>35798000</v>
      </c>
      <c r="F16" s="46" t="n">
        <f aca="false">SUM(F14:F15)</f>
        <v>77595000</v>
      </c>
    </row>
    <row r="18" customFormat="false" ht="15" hidden="false" customHeight="false" outlineLevel="0" collapsed="false">
      <c r="A18" s="47" t="s">
        <v>121</v>
      </c>
      <c r="B18" s="48"/>
      <c r="C18" s="48"/>
      <c r="D18" s="48"/>
      <c r="E18" s="48"/>
      <c r="F18" s="48"/>
    </row>
    <row r="19" customFormat="false" ht="15" hidden="false" customHeight="false" outlineLevel="0" collapsed="false">
      <c r="A19" s="38" t="s">
        <v>25</v>
      </c>
      <c r="B19" s="38" t="s">
        <v>47</v>
      </c>
      <c r="C19" s="38" t="s">
        <v>48</v>
      </c>
      <c r="D19" s="38" t="s">
        <v>1</v>
      </c>
      <c r="E19" s="38" t="s">
        <v>49</v>
      </c>
      <c r="F19" s="38" t="s">
        <v>50</v>
      </c>
    </row>
    <row r="20" customFormat="false" ht="15" hidden="false" customHeight="false" outlineLevel="0" collapsed="false">
      <c r="A20" s="39" t="s">
        <v>122</v>
      </c>
      <c r="B20" s="51" t="n">
        <v>3000</v>
      </c>
      <c r="C20" s="51" t="n">
        <v>5000</v>
      </c>
      <c r="D20" s="51" t="n">
        <v>10000</v>
      </c>
      <c r="E20" s="51" t="n">
        <v>20000</v>
      </c>
      <c r="F20" s="51" t="n">
        <v>50000</v>
      </c>
    </row>
    <row r="21" customFormat="false" ht="15" hidden="false" customHeight="false" outlineLevel="0" collapsed="false">
      <c r="A21" s="39" t="s">
        <v>123</v>
      </c>
      <c r="B21" s="44" t="n">
        <v>2000</v>
      </c>
      <c r="C21" s="44" t="n">
        <v>2000</v>
      </c>
      <c r="D21" s="44" t="n">
        <v>1700</v>
      </c>
      <c r="E21" s="44" t="n">
        <v>1700</v>
      </c>
      <c r="F21" s="44" t="n">
        <v>1462</v>
      </c>
    </row>
    <row r="22" customFormat="false" ht="15" hidden="false" customHeight="false" outlineLevel="0" collapsed="false">
      <c r="A22" s="39" t="s">
        <v>124</v>
      </c>
      <c r="B22" s="39" t="s">
        <v>106</v>
      </c>
      <c r="C22" s="39" t="s">
        <v>106</v>
      </c>
      <c r="D22" s="39" t="s">
        <v>109</v>
      </c>
      <c r="E22" s="39" t="s">
        <v>109</v>
      </c>
      <c r="F22" s="39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  <col collapsed="false" customWidth="true" hidden="false" outlineLevel="0" max="8" min="8" style="0" width="30"/>
    <col collapsed="false" customWidth="true" hidden="false" outlineLevel="0" max="10" min="9" style="0" width="14"/>
  </cols>
  <sheetData>
    <row r="1" customFormat="false" ht="17.35" hidden="false" customHeight="false" outlineLevel="0" collapsed="false">
      <c r="A1" s="37" t="s">
        <v>126</v>
      </c>
    </row>
    <row r="2" customFormat="false" ht="15" hidden="false" customHeight="false" outlineLevel="0" collapsed="false">
      <c r="A2" s="52" t="s">
        <v>127</v>
      </c>
    </row>
    <row r="4" customFormat="false" ht="15" hidden="false" customHeight="false" outlineLevel="0" collapsed="false">
      <c r="A4" s="38" t="s">
        <v>128</v>
      </c>
      <c r="B4" s="38" t="s">
        <v>47</v>
      </c>
      <c r="C4" s="38" t="s">
        <v>48</v>
      </c>
      <c r="D4" s="38" t="s">
        <v>1</v>
      </c>
      <c r="E4" s="38" t="s">
        <v>49</v>
      </c>
      <c r="F4" s="38" t="s">
        <v>50</v>
      </c>
      <c r="H4" s="38" t="s">
        <v>128</v>
      </c>
      <c r="I4" s="38" t="s">
        <v>129</v>
      </c>
      <c r="J4" s="38" t="s">
        <v>130</v>
      </c>
    </row>
    <row r="5" customFormat="false" ht="15" hidden="false" customHeight="false" outlineLevel="0" collapsed="false">
      <c r="A5" s="53" t="s">
        <v>131</v>
      </c>
      <c r="B5" s="48"/>
      <c r="C5" s="48"/>
      <c r="D5" s="48"/>
      <c r="E5" s="48"/>
      <c r="F5" s="48"/>
    </row>
    <row r="6" customFormat="false" ht="15" hidden="false" customHeight="false" outlineLevel="0" collapsed="false">
      <c r="A6" s="39" t="s">
        <v>132</v>
      </c>
      <c r="B6" s="51" t="n">
        <v>1</v>
      </c>
      <c r="C6" s="51" t="n">
        <v>1</v>
      </c>
      <c r="D6" s="51" t="n">
        <v>1</v>
      </c>
      <c r="E6" s="51" t="n">
        <v>1</v>
      </c>
      <c r="F6" s="51" t="n">
        <v>1</v>
      </c>
      <c r="H6" s="39" t="s">
        <v>132</v>
      </c>
      <c r="I6" s="44" t="n">
        <v>35000</v>
      </c>
      <c r="J6" s="54" t="n">
        <f aca="false">I6*12</f>
        <v>420000</v>
      </c>
    </row>
    <row r="7" customFormat="false" ht="15" hidden="false" customHeight="false" outlineLevel="0" collapsed="false">
      <c r="A7" s="39" t="s">
        <v>133</v>
      </c>
      <c r="B7" s="51" t="n">
        <v>0</v>
      </c>
      <c r="C7" s="51" t="n">
        <v>0</v>
      </c>
      <c r="D7" s="51" t="n">
        <v>1</v>
      </c>
      <c r="E7" s="51" t="n">
        <v>1</v>
      </c>
      <c r="F7" s="51" t="n">
        <v>1</v>
      </c>
      <c r="H7" s="39" t="s">
        <v>133</v>
      </c>
      <c r="I7" s="44" t="n">
        <v>28000</v>
      </c>
      <c r="J7" s="54" t="n">
        <f aca="false">I7*12</f>
        <v>336000</v>
      </c>
    </row>
    <row r="8" customFormat="false" ht="15" hidden="false" customHeight="false" outlineLevel="0" collapsed="false">
      <c r="A8" s="39" t="s">
        <v>134</v>
      </c>
      <c r="B8" s="51" t="n">
        <v>0</v>
      </c>
      <c r="C8" s="51" t="n">
        <v>1</v>
      </c>
      <c r="D8" s="51" t="n">
        <v>1</v>
      </c>
      <c r="E8" s="51" t="n">
        <v>1</v>
      </c>
      <c r="F8" s="51" t="n">
        <v>1</v>
      </c>
      <c r="H8" s="39" t="s">
        <v>134</v>
      </c>
      <c r="I8" s="44" t="n">
        <v>28000</v>
      </c>
      <c r="J8" s="54" t="n">
        <f aca="false">I8*12</f>
        <v>336000</v>
      </c>
    </row>
    <row r="9" customFormat="false" ht="15" hidden="false" customHeight="false" outlineLevel="0" collapsed="false">
      <c r="A9" s="39" t="s">
        <v>135</v>
      </c>
      <c r="B9" s="51" t="n">
        <v>0</v>
      </c>
      <c r="C9" s="51" t="n">
        <v>1</v>
      </c>
      <c r="D9" s="51" t="n">
        <v>1</v>
      </c>
      <c r="E9" s="51" t="n">
        <v>1</v>
      </c>
      <c r="F9" s="51" t="n">
        <v>1</v>
      </c>
      <c r="H9" s="39" t="s">
        <v>135</v>
      </c>
      <c r="I9" s="44" t="n">
        <v>30000</v>
      </c>
      <c r="J9" s="54" t="n">
        <f aca="false">I9*12</f>
        <v>360000</v>
      </c>
    </row>
    <row r="10" customFormat="false" ht="15" hidden="false" customHeight="false" outlineLevel="0" collapsed="false">
      <c r="A10" s="39" t="s">
        <v>136</v>
      </c>
      <c r="B10" s="51" t="n">
        <v>0</v>
      </c>
      <c r="C10" s="51" t="n">
        <v>0</v>
      </c>
      <c r="D10" s="51" t="n">
        <v>1</v>
      </c>
      <c r="E10" s="51" t="n">
        <v>1</v>
      </c>
      <c r="F10" s="51" t="n">
        <v>1</v>
      </c>
      <c r="H10" s="39" t="s">
        <v>136</v>
      </c>
      <c r="I10" s="44" t="n">
        <v>25000</v>
      </c>
      <c r="J10" s="54" t="n">
        <f aca="false">I10*12</f>
        <v>300000</v>
      </c>
    </row>
    <row r="11" customFormat="false" ht="15" hidden="false" customHeight="false" outlineLevel="0" collapsed="false">
      <c r="A11" s="39" t="s">
        <v>137</v>
      </c>
      <c r="B11" s="51" t="n">
        <v>0</v>
      </c>
      <c r="C11" s="51" t="n">
        <v>0</v>
      </c>
      <c r="D11" s="51" t="n">
        <v>0</v>
      </c>
      <c r="E11" s="51" t="n">
        <v>1</v>
      </c>
      <c r="F11" s="51" t="n">
        <v>1</v>
      </c>
      <c r="H11" s="39" t="s">
        <v>137</v>
      </c>
      <c r="I11" s="44" t="n">
        <v>22000</v>
      </c>
      <c r="J11" s="54" t="n">
        <f aca="false">I11*12</f>
        <v>264000</v>
      </c>
    </row>
    <row r="12" customFormat="false" ht="15" hidden="false" customHeight="false" outlineLevel="0" collapsed="false">
      <c r="A12" s="39" t="s">
        <v>138</v>
      </c>
      <c r="B12" s="51" t="n">
        <v>0</v>
      </c>
      <c r="C12" s="51" t="n">
        <v>0</v>
      </c>
      <c r="D12" s="51" t="n">
        <v>0</v>
      </c>
      <c r="E12" s="51" t="n">
        <v>1</v>
      </c>
      <c r="F12" s="51" t="n">
        <v>1</v>
      </c>
      <c r="H12" s="39" t="s">
        <v>138</v>
      </c>
      <c r="I12" s="44" t="n">
        <v>22000</v>
      </c>
      <c r="J12" s="54" t="n">
        <f aca="false">I12*12</f>
        <v>264000</v>
      </c>
    </row>
    <row r="13" customFormat="false" ht="15" hidden="false" customHeight="false" outlineLevel="0" collapsed="false">
      <c r="A13" s="53" t="s">
        <v>139</v>
      </c>
      <c r="B13" s="48"/>
      <c r="C13" s="48"/>
      <c r="D13" s="48"/>
      <c r="E13" s="48"/>
      <c r="F13" s="48"/>
    </row>
    <row r="14" customFormat="false" ht="15" hidden="false" customHeight="false" outlineLevel="0" collapsed="false">
      <c r="A14" s="39" t="s">
        <v>140</v>
      </c>
      <c r="B14" s="51" t="n">
        <v>0</v>
      </c>
      <c r="C14" s="51" t="n">
        <v>1</v>
      </c>
      <c r="D14" s="51" t="n">
        <v>1</v>
      </c>
      <c r="E14" s="51" t="n">
        <v>1</v>
      </c>
      <c r="F14" s="51" t="n">
        <v>1</v>
      </c>
      <c r="H14" s="39" t="s">
        <v>140</v>
      </c>
      <c r="I14" s="44" t="n">
        <v>20000</v>
      </c>
      <c r="J14" s="54" t="n">
        <f aca="false">I14*12</f>
        <v>240000</v>
      </c>
    </row>
    <row r="15" customFormat="false" ht="15" hidden="false" customHeight="false" outlineLevel="0" collapsed="false">
      <c r="A15" s="39" t="s">
        <v>141</v>
      </c>
      <c r="B15" s="51" t="n">
        <v>2</v>
      </c>
      <c r="C15" s="51" t="n">
        <v>3</v>
      </c>
      <c r="D15" s="51" t="n">
        <v>4</v>
      </c>
      <c r="E15" s="51" t="n">
        <v>5</v>
      </c>
      <c r="F15" s="51" t="n">
        <v>8</v>
      </c>
      <c r="H15" s="39" t="s">
        <v>141</v>
      </c>
      <c r="I15" s="44" t="n">
        <v>9000</v>
      </c>
      <c r="J15" s="54" t="n">
        <f aca="false">I15*12</f>
        <v>108000</v>
      </c>
    </row>
    <row r="16" customFormat="false" ht="15" hidden="false" customHeight="false" outlineLevel="0" collapsed="false">
      <c r="A16" s="39" t="s">
        <v>142</v>
      </c>
      <c r="B16" s="51" t="n">
        <v>0</v>
      </c>
      <c r="C16" s="51" t="n">
        <v>1</v>
      </c>
      <c r="D16" s="51" t="n">
        <v>1</v>
      </c>
      <c r="E16" s="51" t="n">
        <v>2</v>
      </c>
      <c r="F16" s="51" t="n">
        <v>3</v>
      </c>
      <c r="H16" s="39" t="s">
        <v>142</v>
      </c>
      <c r="I16" s="44" t="n">
        <v>11000</v>
      </c>
      <c r="J16" s="54" t="n">
        <f aca="false">I16*12</f>
        <v>132000</v>
      </c>
    </row>
    <row r="17" customFormat="false" ht="15" hidden="false" customHeight="false" outlineLevel="0" collapsed="false">
      <c r="A17" s="39" t="s">
        <v>143</v>
      </c>
      <c r="B17" s="51" t="n">
        <v>0</v>
      </c>
      <c r="C17" s="51" t="n">
        <v>0</v>
      </c>
      <c r="D17" s="51" t="n">
        <v>1</v>
      </c>
      <c r="E17" s="51" t="n">
        <v>1</v>
      </c>
      <c r="F17" s="51" t="n">
        <v>2</v>
      </c>
      <c r="H17" s="39" t="s">
        <v>143</v>
      </c>
      <c r="I17" s="44" t="n">
        <v>8000</v>
      </c>
      <c r="J17" s="54" t="n">
        <f aca="false">I17*12</f>
        <v>96000</v>
      </c>
    </row>
    <row r="18" customFormat="false" ht="15" hidden="false" customHeight="false" outlineLevel="0" collapsed="false">
      <c r="A18" s="53" t="s">
        <v>144</v>
      </c>
      <c r="B18" s="48"/>
      <c r="C18" s="48"/>
      <c r="D18" s="48"/>
      <c r="E18" s="48"/>
      <c r="F18" s="48"/>
    </row>
    <row r="19" customFormat="false" ht="15" hidden="false" customHeight="false" outlineLevel="0" collapsed="false">
      <c r="A19" s="39" t="s">
        <v>145</v>
      </c>
      <c r="B19" s="51" t="n">
        <v>0</v>
      </c>
      <c r="C19" s="51" t="n">
        <v>0</v>
      </c>
      <c r="D19" s="51" t="n">
        <v>1</v>
      </c>
      <c r="E19" s="51" t="n">
        <v>1</v>
      </c>
      <c r="F19" s="51" t="n">
        <v>1</v>
      </c>
      <c r="H19" s="39" t="s">
        <v>145</v>
      </c>
      <c r="I19" s="44" t="n">
        <v>22000</v>
      </c>
      <c r="J19" s="54" t="n">
        <f aca="false">I19*12</f>
        <v>264000</v>
      </c>
    </row>
    <row r="20" customFormat="false" ht="15" hidden="false" customHeight="false" outlineLevel="0" collapsed="false">
      <c r="A20" s="39" t="s">
        <v>146</v>
      </c>
      <c r="B20" s="51" t="n">
        <v>1</v>
      </c>
      <c r="C20" s="51" t="n">
        <v>1</v>
      </c>
      <c r="D20" s="51" t="n">
        <v>1</v>
      </c>
      <c r="E20" s="51" t="n">
        <v>3</v>
      </c>
      <c r="F20" s="51" t="n">
        <v>5</v>
      </c>
      <c r="H20" s="39" t="s">
        <v>146</v>
      </c>
      <c r="I20" s="44" t="n">
        <v>12000</v>
      </c>
      <c r="J20" s="54" t="n">
        <f aca="false">I20*12</f>
        <v>144000</v>
      </c>
    </row>
    <row r="21" customFormat="false" ht="15" hidden="false" customHeight="false" outlineLevel="0" collapsed="false">
      <c r="A21" s="39" t="s">
        <v>147</v>
      </c>
      <c r="B21" s="51" t="n">
        <v>0</v>
      </c>
      <c r="C21" s="51" t="n">
        <v>1</v>
      </c>
      <c r="D21" s="51" t="n">
        <v>2</v>
      </c>
      <c r="E21" s="51" t="n">
        <v>3</v>
      </c>
      <c r="F21" s="51" t="n">
        <v>5</v>
      </c>
      <c r="H21" s="39" t="s">
        <v>147</v>
      </c>
      <c r="I21" s="44" t="n">
        <v>15000</v>
      </c>
      <c r="J21" s="54" t="n">
        <f aca="false">I21*12</f>
        <v>180000</v>
      </c>
    </row>
    <row r="22" customFormat="false" ht="15" hidden="false" customHeight="false" outlineLevel="0" collapsed="false">
      <c r="A22" s="39" t="s">
        <v>148</v>
      </c>
      <c r="B22" s="51" t="n">
        <v>0</v>
      </c>
      <c r="C22" s="51" t="n">
        <v>0</v>
      </c>
      <c r="D22" s="51" t="n">
        <v>1</v>
      </c>
      <c r="E22" s="51" t="n">
        <v>2</v>
      </c>
      <c r="F22" s="51" t="n">
        <v>3</v>
      </c>
      <c r="H22" s="39" t="s">
        <v>148</v>
      </c>
      <c r="I22" s="44" t="n">
        <v>15000</v>
      </c>
      <c r="J22" s="54" t="n">
        <f aca="false">I22*12</f>
        <v>180000</v>
      </c>
    </row>
    <row r="23" customFormat="false" ht="15" hidden="false" customHeight="false" outlineLevel="0" collapsed="false">
      <c r="A23" s="53" t="s">
        <v>149</v>
      </c>
      <c r="B23" s="48"/>
      <c r="C23" s="48"/>
      <c r="D23" s="48"/>
      <c r="E23" s="48"/>
      <c r="F23" s="48"/>
    </row>
    <row r="24" customFormat="false" ht="15" hidden="false" customHeight="false" outlineLevel="0" collapsed="false">
      <c r="A24" s="39" t="s">
        <v>150</v>
      </c>
      <c r="B24" s="51" t="n">
        <v>0</v>
      </c>
      <c r="C24" s="51" t="n">
        <v>0</v>
      </c>
      <c r="D24" s="51" t="n">
        <v>1</v>
      </c>
      <c r="E24" s="51" t="n">
        <v>1</v>
      </c>
      <c r="F24" s="51" t="n">
        <v>1</v>
      </c>
      <c r="H24" s="39" t="s">
        <v>150</v>
      </c>
      <c r="I24" s="44" t="n">
        <v>18000</v>
      </c>
      <c r="J24" s="54" t="n">
        <f aca="false">I24*12</f>
        <v>216000</v>
      </c>
    </row>
    <row r="25" customFormat="false" ht="15" hidden="false" customHeight="false" outlineLevel="0" collapsed="false">
      <c r="A25" s="39" t="s">
        <v>151</v>
      </c>
      <c r="B25" s="51" t="n">
        <v>1</v>
      </c>
      <c r="C25" s="51" t="n">
        <v>2</v>
      </c>
      <c r="D25" s="51" t="n">
        <v>2</v>
      </c>
      <c r="E25" s="51" t="n">
        <v>4</v>
      </c>
      <c r="F25" s="51" t="n">
        <v>8</v>
      </c>
      <c r="H25" s="39" t="s">
        <v>151</v>
      </c>
      <c r="I25" s="44" t="n">
        <v>7200</v>
      </c>
      <c r="J25" s="54" t="n">
        <f aca="false">I25*12</f>
        <v>86400</v>
      </c>
    </row>
    <row r="26" customFormat="false" ht="15" hidden="false" customHeight="false" outlineLevel="0" collapsed="false">
      <c r="A26" s="39" t="s">
        <v>152</v>
      </c>
      <c r="B26" s="51" t="n">
        <v>0</v>
      </c>
      <c r="C26" s="51" t="n">
        <v>0</v>
      </c>
      <c r="D26" s="51" t="n">
        <v>1</v>
      </c>
      <c r="E26" s="51" t="n">
        <v>2</v>
      </c>
      <c r="F26" s="51" t="n">
        <v>3</v>
      </c>
      <c r="H26" s="39" t="s">
        <v>152</v>
      </c>
      <c r="I26" s="44" t="n">
        <v>9000</v>
      </c>
      <c r="J26" s="54" t="n">
        <f aca="false">I26*12</f>
        <v>108000</v>
      </c>
    </row>
    <row r="27" customFormat="false" ht="15" hidden="false" customHeight="false" outlineLevel="0" collapsed="false">
      <c r="A27" s="53" t="s">
        <v>153</v>
      </c>
      <c r="B27" s="48"/>
      <c r="C27" s="48"/>
      <c r="D27" s="48"/>
      <c r="E27" s="48"/>
      <c r="F27" s="48"/>
    </row>
    <row r="28" customFormat="false" ht="15" hidden="false" customHeight="false" outlineLevel="0" collapsed="false">
      <c r="A28" s="39" t="s">
        <v>154</v>
      </c>
      <c r="B28" s="51" t="n">
        <v>0</v>
      </c>
      <c r="C28" s="51" t="n">
        <v>0</v>
      </c>
      <c r="D28" s="51" t="n">
        <v>1</v>
      </c>
      <c r="E28" s="51" t="n">
        <v>1</v>
      </c>
      <c r="F28" s="51" t="n">
        <v>1</v>
      </c>
      <c r="H28" s="39" t="s">
        <v>154</v>
      </c>
      <c r="I28" s="44" t="n">
        <v>20000</v>
      </c>
      <c r="J28" s="54" t="n">
        <f aca="false">I28*12</f>
        <v>240000</v>
      </c>
    </row>
    <row r="29" customFormat="false" ht="15" hidden="false" customHeight="false" outlineLevel="0" collapsed="false">
      <c r="A29" s="39" t="s">
        <v>155</v>
      </c>
      <c r="B29" s="51" t="n">
        <v>0</v>
      </c>
      <c r="C29" s="51" t="n">
        <v>1</v>
      </c>
      <c r="D29" s="51" t="n">
        <v>2</v>
      </c>
      <c r="E29" s="51" t="n">
        <v>3</v>
      </c>
      <c r="F29" s="51" t="n">
        <v>5</v>
      </c>
      <c r="H29" s="39" t="s">
        <v>155</v>
      </c>
      <c r="I29" s="44" t="n">
        <v>10000</v>
      </c>
      <c r="J29" s="54" t="n">
        <f aca="false">I29*12</f>
        <v>120000</v>
      </c>
    </row>
    <row r="30" customFormat="false" ht="15" hidden="false" customHeight="false" outlineLevel="0" collapsed="false">
      <c r="A30" s="39" t="s">
        <v>156</v>
      </c>
      <c r="B30" s="51" t="n">
        <v>0</v>
      </c>
      <c r="C30" s="51" t="n">
        <v>0</v>
      </c>
      <c r="D30" s="51" t="n">
        <v>1</v>
      </c>
      <c r="E30" s="51" t="n">
        <v>1</v>
      </c>
      <c r="F30" s="51" t="n">
        <v>2</v>
      </c>
      <c r="H30" s="39" t="s">
        <v>156</v>
      </c>
      <c r="I30" s="44" t="n">
        <v>9000</v>
      </c>
      <c r="J30" s="54" t="n">
        <f aca="false">I30*12</f>
        <v>108000</v>
      </c>
    </row>
    <row r="31" customFormat="false" ht="15" hidden="false" customHeight="false" outlineLevel="0" collapsed="false">
      <c r="A31" s="53" t="s">
        <v>157</v>
      </c>
      <c r="B31" s="48"/>
      <c r="C31" s="48"/>
      <c r="D31" s="48"/>
      <c r="E31" s="48"/>
      <c r="F31" s="48"/>
    </row>
    <row r="32" customFormat="false" ht="15" hidden="false" customHeight="false" outlineLevel="0" collapsed="false">
      <c r="A32" s="39" t="s">
        <v>158</v>
      </c>
      <c r="B32" s="51" t="n">
        <v>0</v>
      </c>
      <c r="C32" s="51" t="n">
        <v>0</v>
      </c>
      <c r="D32" s="51" t="n">
        <v>1</v>
      </c>
      <c r="E32" s="51" t="n">
        <v>1</v>
      </c>
      <c r="F32" s="51" t="n">
        <v>1</v>
      </c>
      <c r="H32" s="39" t="s">
        <v>158</v>
      </c>
      <c r="I32" s="44" t="n">
        <v>20000</v>
      </c>
      <c r="J32" s="54" t="n">
        <f aca="false">I32*12</f>
        <v>240000</v>
      </c>
    </row>
    <row r="33" customFormat="false" ht="15" hidden="false" customHeight="false" outlineLevel="0" collapsed="false">
      <c r="A33" s="39" t="s">
        <v>159</v>
      </c>
      <c r="B33" s="51" t="n">
        <v>0</v>
      </c>
      <c r="C33" s="51" t="n">
        <v>1</v>
      </c>
      <c r="D33" s="51" t="n">
        <v>1</v>
      </c>
      <c r="E33" s="51" t="n">
        <v>2</v>
      </c>
      <c r="F33" s="51" t="n">
        <v>3</v>
      </c>
      <c r="H33" s="39" t="s">
        <v>159</v>
      </c>
      <c r="I33" s="44" t="n">
        <v>11000</v>
      </c>
      <c r="J33" s="54" t="n">
        <f aca="false">I33*12</f>
        <v>132000</v>
      </c>
    </row>
    <row r="34" customFormat="false" ht="15" hidden="false" customHeight="false" outlineLevel="0" collapsed="false">
      <c r="A34" s="39" t="s">
        <v>160</v>
      </c>
      <c r="B34" s="51" t="n">
        <v>0</v>
      </c>
      <c r="C34" s="51" t="n">
        <v>0</v>
      </c>
      <c r="D34" s="51" t="n">
        <v>1</v>
      </c>
      <c r="E34" s="51" t="n">
        <v>2</v>
      </c>
      <c r="F34" s="51" t="n">
        <v>3</v>
      </c>
      <c r="H34" s="39" t="s">
        <v>160</v>
      </c>
      <c r="I34" s="44" t="n">
        <v>7000</v>
      </c>
      <c r="J34" s="54" t="n">
        <f aca="false">I34*12</f>
        <v>84000</v>
      </c>
    </row>
    <row r="35" customFormat="false" ht="15" hidden="false" customHeight="false" outlineLevel="0" collapsed="false">
      <c r="A35" s="45" t="s">
        <v>161</v>
      </c>
      <c r="B35" s="55" t="n">
        <f aca="false">SUMPRODUCT((B5:B34)*(B5:B34&lt;&gt;0)*1)</f>
        <v>5</v>
      </c>
      <c r="C35" s="55" t="n">
        <f aca="false">SUMPRODUCT((C5:C34)*(C5:C34&lt;&gt;0)*1)</f>
        <v>14</v>
      </c>
      <c r="D35" s="55" t="n">
        <f aca="false">SUMPRODUCT((D5:D34)*(D5:D34&lt;&gt;0)*1)</f>
        <v>28</v>
      </c>
      <c r="E35" s="55" t="n">
        <f aca="false">SUMPRODUCT((E5:E34)*(E5:E34&lt;&gt;0)*1)</f>
        <v>42</v>
      </c>
      <c r="F35" s="55" t="n">
        <f aca="false">SUMPRODUCT((F5:F34)*(F5:F34&lt;&gt;0)*1)</f>
        <v>62</v>
      </c>
    </row>
    <row r="37" customFormat="false" ht="17.35" hidden="false" customHeight="false" outlineLevel="0" collapsed="false">
      <c r="A37" s="37" t="s">
        <v>162</v>
      </c>
    </row>
    <row r="38" customFormat="false" ht="28.35" hidden="false" customHeight="false" outlineLevel="0" collapsed="false">
      <c r="A38" s="38" t="s">
        <v>128</v>
      </c>
      <c r="B38" s="38" t="s">
        <v>163</v>
      </c>
      <c r="C38" s="38" t="s">
        <v>47</v>
      </c>
      <c r="D38" s="38" t="s">
        <v>48</v>
      </c>
      <c r="E38" s="38" t="s">
        <v>1</v>
      </c>
      <c r="F38" s="38" t="s">
        <v>49</v>
      </c>
      <c r="G38" s="38" t="s">
        <v>50</v>
      </c>
    </row>
    <row r="39" customFormat="false" ht="15" hidden="false" customHeight="false" outlineLevel="0" collapsed="false">
      <c r="A39" s="53" t="s">
        <v>131</v>
      </c>
      <c r="B39" s="48"/>
      <c r="C39" s="48"/>
      <c r="D39" s="48"/>
      <c r="E39" s="48"/>
      <c r="F39" s="48"/>
      <c r="G39" s="48"/>
    </row>
    <row r="40" customFormat="false" ht="15" hidden="false" customHeight="false" outlineLevel="0" collapsed="false">
      <c r="A40" s="39" t="s">
        <v>132</v>
      </c>
      <c r="B40" s="44" t="n">
        <v>420000</v>
      </c>
      <c r="C40" s="44" t="n">
        <v>420000</v>
      </c>
      <c r="D40" s="44" t="n">
        <v>420000</v>
      </c>
      <c r="E40" s="44" t="n">
        <v>420000</v>
      </c>
      <c r="F40" s="44" t="n">
        <v>420000</v>
      </c>
      <c r="G40" s="44" t="n">
        <v>420000</v>
      </c>
    </row>
    <row r="41" customFormat="false" ht="15" hidden="false" customHeight="false" outlineLevel="0" collapsed="false">
      <c r="A41" s="39" t="s">
        <v>133</v>
      </c>
      <c r="B41" s="44" t="n">
        <v>336000</v>
      </c>
      <c r="C41" s="44" t="n">
        <v>0</v>
      </c>
      <c r="D41" s="44" t="n">
        <v>0</v>
      </c>
      <c r="E41" s="44" t="n">
        <v>336000</v>
      </c>
      <c r="F41" s="44" t="n">
        <v>336000</v>
      </c>
      <c r="G41" s="44" t="n">
        <v>336000</v>
      </c>
    </row>
    <row r="42" customFormat="false" ht="15" hidden="false" customHeight="false" outlineLevel="0" collapsed="false">
      <c r="A42" s="39" t="s">
        <v>134</v>
      </c>
      <c r="B42" s="44" t="n">
        <v>336000</v>
      </c>
      <c r="C42" s="44" t="n">
        <v>0</v>
      </c>
      <c r="D42" s="44" t="n">
        <v>336000</v>
      </c>
      <c r="E42" s="44" t="n">
        <v>336000</v>
      </c>
      <c r="F42" s="44" t="n">
        <v>336000</v>
      </c>
      <c r="G42" s="44" t="n">
        <v>336000</v>
      </c>
    </row>
    <row r="43" customFormat="false" ht="15" hidden="false" customHeight="false" outlineLevel="0" collapsed="false">
      <c r="A43" s="39" t="s">
        <v>135</v>
      </c>
      <c r="B43" s="44" t="n">
        <v>360000</v>
      </c>
      <c r="C43" s="44" t="n">
        <v>0</v>
      </c>
      <c r="D43" s="44" t="n">
        <v>360000</v>
      </c>
      <c r="E43" s="44" t="n">
        <v>360000</v>
      </c>
      <c r="F43" s="44" t="n">
        <v>360000</v>
      </c>
      <c r="G43" s="44" t="n">
        <v>360000</v>
      </c>
    </row>
    <row r="44" customFormat="false" ht="15" hidden="false" customHeight="false" outlineLevel="0" collapsed="false">
      <c r="A44" s="39" t="s">
        <v>136</v>
      </c>
      <c r="B44" s="44" t="n">
        <v>300000</v>
      </c>
      <c r="C44" s="44" t="n">
        <v>0</v>
      </c>
      <c r="D44" s="44" t="n">
        <v>0</v>
      </c>
      <c r="E44" s="44" t="n">
        <v>300000</v>
      </c>
      <c r="F44" s="44" t="n">
        <v>300000</v>
      </c>
      <c r="G44" s="44" t="n">
        <v>300000</v>
      </c>
    </row>
    <row r="45" customFormat="false" ht="15" hidden="false" customHeight="false" outlineLevel="0" collapsed="false">
      <c r="A45" s="39" t="s">
        <v>137</v>
      </c>
      <c r="B45" s="44" t="n">
        <v>264000</v>
      </c>
      <c r="C45" s="44" t="n">
        <v>0</v>
      </c>
      <c r="D45" s="44" t="n">
        <v>0</v>
      </c>
      <c r="E45" s="44" t="n">
        <v>0</v>
      </c>
      <c r="F45" s="44" t="n">
        <v>264000</v>
      </c>
      <c r="G45" s="44" t="n">
        <v>264000</v>
      </c>
    </row>
    <row r="46" customFormat="false" ht="15" hidden="false" customHeight="false" outlineLevel="0" collapsed="false">
      <c r="A46" s="39" t="s">
        <v>138</v>
      </c>
      <c r="B46" s="44" t="n">
        <v>264000</v>
      </c>
      <c r="C46" s="44" t="n">
        <v>0</v>
      </c>
      <c r="D46" s="44" t="n">
        <v>0</v>
      </c>
      <c r="E46" s="44" t="n">
        <v>0</v>
      </c>
      <c r="F46" s="44" t="n">
        <v>264000</v>
      </c>
      <c r="G46" s="44" t="n">
        <v>264000</v>
      </c>
    </row>
    <row r="47" customFormat="false" ht="15" hidden="false" customHeight="false" outlineLevel="0" collapsed="false">
      <c r="A47" s="53" t="s">
        <v>139</v>
      </c>
      <c r="B47" s="48"/>
      <c r="C47" s="48"/>
      <c r="D47" s="48"/>
      <c r="E47" s="48"/>
      <c r="F47" s="48"/>
      <c r="G47" s="48"/>
    </row>
    <row r="48" customFormat="false" ht="15" hidden="false" customHeight="false" outlineLevel="0" collapsed="false">
      <c r="A48" s="39" t="s">
        <v>140</v>
      </c>
      <c r="B48" s="44" t="n">
        <v>240000</v>
      </c>
      <c r="C48" s="44" t="n">
        <v>0</v>
      </c>
      <c r="D48" s="44" t="n">
        <v>240000</v>
      </c>
      <c r="E48" s="44" t="n">
        <v>240000</v>
      </c>
      <c r="F48" s="44" t="n">
        <v>240000</v>
      </c>
      <c r="G48" s="44" t="n">
        <v>240000</v>
      </c>
    </row>
    <row r="49" customFormat="false" ht="15" hidden="false" customHeight="false" outlineLevel="0" collapsed="false">
      <c r="A49" s="39" t="s">
        <v>141</v>
      </c>
      <c r="B49" s="44" t="n">
        <v>108000</v>
      </c>
      <c r="C49" s="44" t="n">
        <v>216000</v>
      </c>
      <c r="D49" s="44" t="n">
        <v>324000</v>
      </c>
      <c r="E49" s="44" t="n">
        <v>432000</v>
      </c>
      <c r="F49" s="44" t="n">
        <v>540000</v>
      </c>
      <c r="G49" s="44" t="n">
        <v>864000</v>
      </c>
    </row>
    <row r="50" customFormat="false" ht="15" hidden="false" customHeight="false" outlineLevel="0" collapsed="false">
      <c r="A50" s="39" t="s">
        <v>142</v>
      </c>
      <c r="B50" s="44" t="n">
        <v>132000</v>
      </c>
      <c r="C50" s="44" t="n">
        <v>0</v>
      </c>
      <c r="D50" s="44" t="n">
        <v>132000</v>
      </c>
      <c r="E50" s="44" t="n">
        <v>132000</v>
      </c>
      <c r="F50" s="44" t="n">
        <v>264000</v>
      </c>
      <c r="G50" s="44" t="n">
        <v>396000</v>
      </c>
    </row>
    <row r="51" customFormat="false" ht="15" hidden="false" customHeight="false" outlineLevel="0" collapsed="false">
      <c r="A51" s="39" t="s">
        <v>143</v>
      </c>
      <c r="B51" s="44" t="n">
        <v>96000</v>
      </c>
      <c r="C51" s="44" t="n">
        <v>0</v>
      </c>
      <c r="D51" s="44" t="n">
        <v>0</v>
      </c>
      <c r="E51" s="44" t="n">
        <v>96000</v>
      </c>
      <c r="F51" s="44" t="n">
        <v>96000</v>
      </c>
      <c r="G51" s="44" t="n">
        <v>192000</v>
      </c>
    </row>
    <row r="52" customFormat="false" ht="15" hidden="false" customHeight="false" outlineLevel="0" collapsed="false">
      <c r="A52" s="53" t="s">
        <v>144</v>
      </c>
      <c r="B52" s="48"/>
      <c r="C52" s="48"/>
      <c r="D52" s="48"/>
      <c r="E52" s="48"/>
      <c r="F52" s="48"/>
      <c r="G52" s="48"/>
    </row>
    <row r="53" customFormat="false" ht="15" hidden="false" customHeight="false" outlineLevel="0" collapsed="false">
      <c r="A53" s="39" t="s">
        <v>145</v>
      </c>
      <c r="B53" s="44" t="n">
        <v>264000</v>
      </c>
      <c r="C53" s="44" t="n">
        <v>0</v>
      </c>
      <c r="D53" s="44" t="n">
        <v>0</v>
      </c>
      <c r="E53" s="44" t="n">
        <v>264000</v>
      </c>
      <c r="F53" s="44" t="n">
        <v>264000</v>
      </c>
      <c r="G53" s="44" t="n">
        <v>264000</v>
      </c>
    </row>
    <row r="54" customFormat="false" ht="15" hidden="false" customHeight="false" outlineLevel="0" collapsed="false">
      <c r="A54" s="39" t="s">
        <v>146</v>
      </c>
      <c r="B54" s="44" t="n">
        <v>144000</v>
      </c>
      <c r="C54" s="44" t="n">
        <v>144000</v>
      </c>
      <c r="D54" s="44" t="n">
        <v>144000</v>
      </c>
      <c r="E54" s="44" t="n">
        <v>144000</v>
      </c>
      <c r="F54" s="44" t="n">
        <v>432000</v>
      </c>
      <c r="G54" s="44" t="n">
        <v>720000</v>
      </c>
    </row>
    <row r="55" customFormat="false" ht="15" hidden="false" customHeight="false" outlineLevel="0" collapsed="false">
      <c r="A55" s="39" t="s">
        <v>147</v>
      </c>
      <c r="B55" s="44" t="n">
        <v>180000</v>
      </c>
      <c r="C55" s="44" t="n">
        <v>0</v>
      </c>
      <c r="D55" s="44" t="n">
        <v>180000</v>
      </c>
      <c r="E55" s="44" t="n">
        <v>360000</v>
      </c>
      <c r="F55" s="44" t="n">
        <v>540000</v>
      </c>
      <c r="G55" s="44" t="n">
        <v>900000</v>
      </c>
    </row>
    <row r="56" customFormat="false" ht="15" hidden="false" customHeight="false" outlineLevel="0" collapsed="false">
      <c r="A56" s="39" t="s">
        <v>148</v>
      </c>
      <c r="B56" s="44" t="n">
        <v>180000</v>
      </c>
      <c r="C56" s="44" t="n">
        <v>0</v>
      </c>
      <c r="D56" s="44" t="n">
        <v>0</v>
      </c>
      <c r="E56" s="44" t="n">
        <v>180000</v>
      </c>
      <c r="F56" s="44" t="n">
        <v>360000</v>
      </c>
      <c r="G56" s="44" t="n">
        <v>540000</v>
      </c>
    </row>
    <row r="57" customFormat="false" ht="15" hidden="false" customHeight="false" outlineLevel="0" collapsed="false">
      <c r="A57" s="53" t="s">
        <v>149</v>
      </c>
      <c r="B57" s="48"/>
      <c r="C57" s="48"/>
      <c r="D57" s="48"/>
      <c r="E57" s="48"/>
      <c r="F57" s="48"/>
      <c r="G57" s="48"/>
    </row>
    <row r="58" customFormat="false" ht="15" hidden="false" customHeight="false" outlineLevel="0" collapsed="false">
      <c r="A58" s="39" t="s">
        <v>150</v>
      </c>
      <c r="B58" s="44" t="n">
        <v>216000</v>
      </c>
      <c r="C58" s="44" t="n">
        <v>0</v>
      </c>
      <c r="D58" s="44" t="n">
        <v>0</v>
      </c>
      <c r="E58" s="44" t="n">
        <v>216000</v>
      </c>
      <c r="F58" s="44" t="n">
        <v>216000</v>
      </c>
      <c r="G58" s="44" t="n">
        <v>216000</v>
      </c>
    </row>
    <row r="59" customFormat="false" ht="15" hidden="false" customHeight="false" outlineLevel="0" collapsed="false">
      <c r="A59" s="39" t="s">
        <v>151</v>
      </c>
      <c r="B59" s="44" t="n">
        <v>86400</v>
      </c>
      <c r="C59" s="44" t="n">
        <v>86400</v>
      </c>
      <c r="D59" s="44" t="n">
        <v>172800</v>
      </c>
      <c r="E59" s="44" t="n">
        <v>172800</v>
      </c>
      <c r="F59" s="44" t="n">
        <v>345600</v>
      </c>
      <c r="G59" s="44" t="n">
        <v>691200</v>
      </c>
    </row>
    <row r="60" customFormat="false" ht="15" hidden="false" customHeight="false" outlineLevel="0" collapsed="false">
      <c r="A60" s="39" t="s">
        <v>152</v>
      </c>
      <c r="B60" s="44" t="n">
        <v>108000</v>
      </c>
      <c r="C60" s="44" t="n">
        <v>0</v>
      </c>
      <c r="D60" s="44" t="n">
        <v>0</v>
      </c>
      <c r="E60" s="44" t="n">
        <v>108000</v>
      </c>
      <c r="F60" s="44" t="n">
        <v>216000</v>
      </c>
      <c r="G60" s="44" t="n">
        <v>324000</v>
      </c>
    </row>
    <row r="61" customFormat="false" ht="15" hidden="false" customHeight="false" outlineLevel="0" collapsed="false">
      <c r="A61" s="53" t="s">
        <v>153</v>
      </c>
      <c r="B61" s="48"/>
      <c r="C61" s="48"/>
      <c r="D61" s="48"/>
      <c r="E61" s="48"/>
      <c r="F61" s="48"/>
      <c r="G61" s="48"/>
    </row>
    <row r="62" customFormat="false" ht="15" hidden="false" customHeight="false" outlineLevel="0" collapsed="false">
      <c r="A62" s="39" t="s">
        <v>154</v>
      </c>
      <c r="B62" s="44" t="n">
        <v>240000</v>
      </c>
      <c r="C62" s="44" t="n">
        <v>0</v>
      </c>
      <c r="D62" s="44" t="n">
        <v>0</v>
      </c>
      <c r="E62" s="44" t="n">
        <v>240000</v>
      </c>
      <c r="F62" s="44" t="n">
        <v>240000</v>
      </c>
      <c r="G62" s="44" t="n">
        <v>240000</v>
      </c>
    </row>
    <row r="63" customFormat="false" ht="15" hidden="false" customHeight="false" outlineLevel="0" collapsed="false">
      <c r="A63" s="39" t="s">
        <v>155</v>
      </c>
      <c r="B63" s="44" t="n">
        <v>120000</v>
      </c>
      <c r="C63" s="44" t="n">
        <v>0</v>
      </c>
      <c r="D63" s="44" t="n">
        <v>120000</v>
      </c>
      <c r="E63" s="44" t="n">
        <v>240000</v>
      </c>
      <c r="F63" s="44" t="n">
        <v>360000</v>
      </c>
      <c r="G63" s="44" t="n">
        <v>600000</v>
      </c>
    </row>
    <row r="64" customFormat="false" ht="15" hidden="false" customHeight="false" outlineLevel="0" collapsed="false">
      <c r="A64" s="39" t="s">
        <v>156</v>
      </c>
      <c r="B64" s="44" t="n">
        <v>108000</v>
      </c>
      <c r="C64" s="44" t="n">
        <v>0</v>
      </c>
      <c r="D64" s="44" t="n">
        <v>0</v>
      </c>
      <c r="E64" s="44" t="n">
        <v>108000</v>
      </c>
      <c r="F64" s="44" t="n">
        <v>108000</v>
      </c>
      <c r="G64" s="44" t="n">
        <v>216000</v>
      </c>
    </row>
    <row r="65" customFormat="false" ht="15" hidden="false" customHeight="false" outlineLevel="0" collapsed="false">
      <c r="A65" s="53" t="s">
        <v>157</v>
      </c>
      <c r="B65" s="48"/>
      <c r="C65" s="48"/>
      <c r="D65" s="48"/>
      <c r="E65" s="48"/>
      <c r="F65" s="48"/>
      <c r="G65" s="48"/>
    </row>
    <row r="66" customFormat="false" ht="15" hidden="false" customHeight="false" outlineLevel="0" collapsed="false">
      <c r="A66" s="39" t="s">
        <v>158</v>
      </c>
      <c r="B66" s="44" t="n">
        <v>240000</v>
      </c>
      <c r="C66" s="44" t="n">
        <v>0</v>
      </c>
      <c r="D66" s="44" t="n">
        <v>0</v>
      </c>
      <c r="E66" s="44" t="n">
        <v>240000</v>
      </c>
      <c r="F66" s="44" t="n">
        <v>240000</v>
      </c>
      <c r="G66" s="44" t="n">
        <v>240000</v>
      </c>
    </row>
    <row r="67" customFormat="false" ht="15" hidden="false" customHeight="false" outlineLevel="0" collapsed="false">
      <c r="A67" s="39" t="s">
        <v>159</v>
      </c>
      <c r="B67" s="44" t="n">
        <v>132000</v>
      </c>
      <c r="C67" s="44" t="n">
        <v>0</v>
      </c>
      <c r="D67" s="44" t="n">
        <v>132000</v>
      </c>
      <c r="E67" s="44" t="n">
        <v>132000</v>
      </c>
      <c r="F67" s="44" t="n">
        <v>264000</v>
      </c>
      <c r="G67" s="44" t="n">
        <v>396000</v>
      </c>
    </row>
    <row r="68" customFormat="false" ht="15" hidden="false" customHeight="false" outlineLevel="0" collapsed="false">
      <c r="A68" s="39" t="s">
        <v>160</v>
      </c>
      <c r="B68" s="44" t="n">
        <v>84000</v>
      </c>
      <c r="C68" s="44" t="n">
        <v>0</v>
      </c>
      <c r="D68" s="44" t="n">
        <v>0</v>
      </c>
      <c r="E68" s="44" t="n">
        <v>84000</v>
      </c>
      <c r="F68" s="44" t="n">
        <v>168000</v>
      </c>
      <c r="G68" s="44" t="n">
        <v>252000</v>
      </c>
    </row>
    <row r="69" customFormat="false" ht="15" hidden="false" customHeight="false" outlineLevel="0" collapsed="false">
      <c r="A69" s="45" t="s">
        <v>164</v>
      </c>
      <c r="B69" s="45"/>
      <c r="C69" s="46" t="n">
        <f aca="false">SUMPRODUCT((C39:C68)*(C39:C68&lt;&gt;0)*1)</f>
        <v>866400</v>
      </c>
      <c r="D69" s="46" t="n">
        <f aca="false">SUMPRODUCT((D39:D68)*(D39:D68&lt;&gt;0)*1)</f>
        <v>2560800</v>
      </c>
      <c r="E69" s="46" t="n">
        <f aca="false">SUMPRODUCT((E39:E68)*(E39:E68&lt;&gt;0)*1)</f>
        <v>5140800</v>
      </c>
      <c r="F69" s="46" t="n">
        <f aca="false">SUMPRODUCT((F39:F68)*(F39:F68&lt;&gt;0)*1)</f>
        <v>7173600</v>
      </c>
      <c r="G69" s="46" t="n">
        <f aca="false">SUMPRODUCT((G39:G68)*(G39:G68&lt;&gt;0)*1)</f>
        <v>9571200</v>
      </c>
    </row>
    <row r="71" customFormat="false" ht="15" hidden="false" customHeight="false" outlineLevel="0" collapsed="false">
      <c r="A71" s="56" t="s">
        <v>165</v>
      </c>
    </row>
    <row r="72" customFormat="false" ht="15" hidden="false" customHeight="false" outlineLevel="0" collapsed="false">
      <c r="A72" s="52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37" t="s">
        <v>167</v>
      </c>
    </row>
    <row r="2" customFormat="false" ht="15" hidden="false" customHeight="false" outlineLevel="0" collapsed="false">
      <c r="A2" s="52" t="s">
        <v>168</v>
      </c>
    </row>
    <row r="4" customFormat="false" ht="15" hidden="false" customHeight="false" outlineLevel="0" collapsed="false">
      <c r="A4" s="38" t="s">
        <v>117</v>
      </c>
      <c r="B4" s="38" t="s">
        <v>47</v>
      </c>
      <c r="C4" s="38" t="s">
        <v>48</v>
      </c>
      <c r="D4" s="38" t="s">
        <v>1</v>
      </c>
      <c r="E4" s="38" t="s">
        <v>49</v>
      </c>
      <c r="F4" s="38" t="s">
        <v>50</v>
      </c>
    </row>
    <row r="5" customFormat="false" ht="15" hidden="false" customHeight="false" outlineLevel="0" collapsed="false">
      <c r="A5" s="39" t="s">
        <v>169</v>
      </c>
      <c r="B5" s="44" t="n">
        <v>3744000</v>
      </c>
      <c r="C5" s="44" t="n">
        <v>3744000</v>
      </c>
      <c r="D5" s="44" t="n">
        <v>3744000</v>
      </c>
      <c r="E5" s="44" t="n">
        <v>3744000</v>
      </c>
      <c r="F5" s="44" t="n">
        <v>3744000</v>
      </c>
    </row>
    <row r="6" customFormat="false" ht="15" hidden="false" customHeight="false" outlineLevel="0" collapsed="false">
      <c r="A6" s="39" t="s">
        <v>170</v>
      </c>
      <c r="B6" s="44" t="n">
        <v>720000</v>
      </c>
      <c r="C6" s="44" t="n">
        <v>1200000</v>
      </c>
      <c r="D6" s="44" t="n">
        <v>2400000</v>
      </c>
      <c r="E6" s="44" t="n">
        <v>4800000</v>
      </c>
      <c r="F6" s="44" t="n">
        <v>12000000</v>
      </c>
    </row>
    <row r="7" customFormat="false" ht="15" hidden="false" customHeight="false" outlineLevel="0" collapsed="false">
      <c r="A7" s="39" t="s">
        <v>171</v>
      </c>
      <c r="B7" s="44" t="n">
        <v>300000</v>
      </c>
      <c r="C7" s="44" t="n">
        <v>300000</v>
      </c>
      <c r="D7" s="44" t="n">
        <v>450000</v>
      </c>
      <c r="E7" s="44" t="n">
        <v>750000</v>
      </c>
      <c r="F7" s="44" t="n">
        <v>1500000</v>
      </c>
    </row>
    <row r="8" customFormat="false" ht="15" hidden="false" customHeight="false" outlineLevel="0" collapsed="false">
      <c r="A8" s="39" t="s">
        <v>172</v>
      </c>
      <c r="B8" s="44" t="n">
        <v>100000</v>
      </c>
      <c r="C8" s="44" t="n">
        <v>150000</v>
      </c>
      <c r="D8" s="44" t="n">
        <v>200000</v>
      </c>
      <c r="E8" s="44" t="n">
        <v>300000</v>
      </c>
      <c r="F8" s="44" t="n">
        <v>600000</v>
      </c>
    </row>
    <row r="9" customFormat="false" ht="15" hidden="false" customHeight="false" outlineLevel="0" collapsed="false">
      <c r="A9" s="39" t="s">
        <v>173</v>
      </c>
      <c r="B9" s="44" t="n">
        <v>1200000</v>
      </c>
      <c r="C9" s="44" t="n">
        <v>1200000</v>
      </c>
      <c r="D9" s="44" t="n">
        <v>1200000</v>
      </c>
      <c r="E9" s="44" t="n">
        <v>1200000</v>
      </c>
      <c r="F9" s="44" t="n">
        <v>1200000</v>
      </c>
    </row>
    <row r="10" customFormat="false" ht="15" hidden="false" customHeight="false" outlineLevel="0" collapsed="false">
      <c r="A10" s="39" t="s">
        <v>174</v>
      </c>
      <c r="B10" s="44" t="n">
        <v>600000</v>
      </c>
      <c r="C10" s="44" t="n">
        <v>600000</v>
      </c>
      <c r="D10" s="44" t="n">
        <v>600000</v>
      </c>
      <c r="E10" s="44" t="n">
        <v>600000</v>
      </c>
      <c r="F10" s="44" t="n">
        <v>600000</v>
      </c>
    </row>
    <row r="11" customFormat="false" ht="15" hidden="false" customHeight="false" outlineLevel="0" collapsed="false">
      <c r="A11" s="39" t="s">
        <v>175</v>
      </c>
      <c r="B11" s="44" t="n">
        <v>1000000</v>
      </c>
      <c r="C11" s="44" t="n">
        <v>1000000</v>
      </c>
      <c r="D11" s="44" t="n">
        <v>1000000</v>
      </c>
      <c r="E11" s="44" t="n">
        <v>1000000</v>
      </c>
      <c r="F11" s="44" t="n">
        <v>1000000</v>
      </c>
    </row>
    <row r="12" customFormat="false" ht="15" hidden="false" customHeight="false" outlineLevel="0" collapsed="false">
      <c r="A12" s="39" t="s">
        <v>176</v>
      </c>
      <c r="B12" s="44" t="n">
        <v>500000</v>
      </c>
      <c r="C12" s="44" t="n">
        <v>500000</v>
      </c>
      <c r="D12" s="44" t="n">
        <v>500000</v>
      </c>
      <c r="E12" s="44" t="n">
        <v>500000</v>
      </c>
      <c r="F12" s="44" t="n">
        <v>500000</v>
      </c>
    </row>
    <row r="13" customFormat="false" ht="15" hidden="false" customHeight="false" outlineLevel="0" collapsed="false">
      <c r="A13" s="39" t="s">
        <v>177</v>
      </c>
      <c r="B13" s="44" t="n">
        <v>750000</v>
      </c>
      <c r="C13" s="44" t="n">
        <v>750000</v>
      </c>
      <c r="D13" s="44" t="n">
        <v>750000</v>
      </c>
      <c r="E13" s="44" t="n">
        <v>750000</v>
      </c>
      <c r="F13" s="44" t="n">
        <v>750000</v>
      </c>
    </row>
    <row r="14" customFormat="false" ht="15" hidden="false" customHeight="false" outlineLevel="0" collapsed="false">
      <c r="A14" s="45" t="s">
        <v>178</v>
      </c>
      <c r="B14" s="46" t="n">
        <f aca="false">SUM(B5:B13)</f>
        <v>8914000</v>
      </c>
      <c r="C14" s="46" t="n">
        <f aca="false">SUM(C5:C13)</f>
        <v>9444000</v>
      </c>
      <c r="D14" s="46" t="n">
        <f aca="false">SUM(D5:D13)</f>
        <v>10844000</v>
      </c>
      <c r="E14" s="46" t="n">
        <f aca="false">SUM(E5:E13)</f>
        <v>13644000</v>
      </c>
      <c r="F14" s="46" t="n">
        <f aca="false">SUM(F5:F13)</f>
        <v>21894000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37" t="s">
        <v>179</v>
      </c>
    </row>
    <row r="2" customFormat="false" ht="15" hidden="false" customHeight="false" outlineLevel="0" collapsed="false">
      <c r="A2" s="52" t="s">
        <v>180</v>
      </c>
    </row>
    <row r="4" customFormat="false" ht="15" hidden="false" customHeight="false" outlineLevel="0" collapsed="false">
      <c r="A4" s="38" t="s">
        <v>117</v>
      </c>
      <c r="B4" s="38" t="s">
        <v>47</v>
      </c>
      <c r="C4" s="38" t="s">
        <v>48</v>
      </c>
      <c r="D4" s="38" t="s">
        <v>1</v>
      </c>
      <c r="E4" s="38" t="s">
        <v>49</v>
      </c>
      <c r="F4" s="38" t="s">
        <v>50</v>
      </c>
    </row>
    <row r="5" customFormat="false" ht="15" hidden="false" customHeight="false" outlineLevel="0" collapsed="false">
      <c r="A5" s="39" t="s">
        <v>181</v>
      </c>
      <c r="B5" s="44" t="n">
        <v>500000</v>
      </c>
      <c r="C5" s="44" t="n">
        <v>500000</v>
      </c>
      <c r="D5" s="44" t="n">
        <v>500000</v>
      </c>
      <c r="E5" s="44" t="n">
        <v>500000</v>
      </c>
      <c r="F5" s="44" t="n">
        <v>500000</v>
      </c>
    </row>
    <row r="6" customFormat="false" ht="15" hidden="false" customHeight="false" outlineLevel="0" collapsed="false">
      <c r="A6" s="39" t="s">
        <v>182</v>
      </c>
      <c r="B6" s="44" t="n">
        <v>300000</v>
      </c>
      <c r="C6" s="44" t="n">
        <v>300000</v>
      </c>
      <c r="D6" s="44" t="n">
        <v>300000</v>
      </c>
      <c r="E6" s="44" t="n">
        <v>300000</v>
      </c>
      <c r="F6" s="44" t="n">
        <v>300000</v>
      </c>
    </row>
    <row r="7" customFormat="false" ht="15" hidden="false" customHeight="false" outlineLevel="0" collapsed="false">
      <c r="A7" s="39" t="s">
        <v>183</v>
      </c>
      <c r="B7" s="44" t="n">
        <v>250000</v>
      </c>
      <c r="C7" s="44" t="n">
        <v>250000</v>
      </c>
      <c r="D7" s="44" t="n">
        <v>250000</v>
      </c>
      <c r="E7" s="44" t="n">
        <v>250000</v>
      </c>
      <c r="F7" s="44" t="n">
        <v>250000</v>
      </c>
    </row>
    <row r="8" customFormat="false" ht="15" hidden="false" customHeight="false" outlineLevel="0" collapsed="false">
      <c r="A8" s="39" t="s">
        <v>184</v>
      </c>
      <c r="B8" s="44" t="n">
        <v>450000</v>
      </c>
      <c r="C8" s="44" t="n">
        <v>450000</v>
      </c>
      <c r="D8" s="44" t="n">
        <v>450000</v>
      </c>
      <c r="E8" s="44" t="n">
        <v>450000</v>
      </c>
      <c r="F8" s="44" t="n">
        <v>450000</v>
      </c>
    </row>
    <row r="9" customFormat="false" ht="15" hidden="false" customHeight="false" outlineLevel="0" collapsed="false">
      <c r="A9" s="45" t="s">
        <v>185</v>
      </c>
      <c r="B9" s="46" t="n">
        <f aca="false">SUM(B5:B8)</f>
        <v>1500000</v>
      </c>
      <c r="C9" s="46" t="n">
        <f aca="false">SUM(C5:C8)</f>
        <v>1500000</v>
      </c>
      <c r="D9" s="46" t="n">
        <f aca="false">SUM(D5:D8)</f>
        <v>1500000</v>
      </c>
      <c r="E9" s="46" t="n">
        <f aca="false">SUM(E5:E8)</f>
        <v>1500000</v>
      </c>
      <c r="F9" s="46" t="n">
        <f aca="false">SUM(F5:F8)</f>
        <v>1500000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37" t="s">
        <v>186</v>
      </c>
    </row>
    <row r="2" customFormat="false" ht="15" hidden="false" customHeight="false" outlineLevel="0" collapsed="false">
      <c r="A2" s="52" t="s">
        <v>187</v>
      </c>
    </row>
    <row r="4" customFormat="false" ht="15" hidden="false" customHeight="false" outlineLevel="0" collapsed="false">
      <c r="A4" s="38" t="s">
        <v>117</v>
      </c>
      <c r="B4" s="38" t="s">
        <v>47</v>
      </c>
      <c r="C4" s="38" t="s">
        <v>48</v>
      </c>
      <c r="D4" s="38" t="s">
        <v>1</v>
      </c>
      <c r="E4" s="38" t="s">
        <v>49</v>
      </c>
      <c r="F4" s="38" t="s">
        <v>50</v>
      </c>
    </row>
    <row r="5" customFormat="false" ht="15" hidden="false" customHeight="false" outlineLevel="0" collapsed="false">
      <c r="A5" s="39" t="s">
        <v>188</v>
      </c>
      <c r="B5" s="44" t="n">
        <v>500000</v>
      </c>
      <c r="C5" s="44" t="n">
        <v>500000</v>
      </c>
      <c r="D5" s="44" t="n">
        <v>750000</v>
      </c>
      <c r="E5" s="44" t="n">
        <v>1250000</v>
      </c>
      <c r="F5" s="44" t="n">
        <v>2500000</v>
      </c>
    </row>
    <row r="6" customFormat="false" ht="15" hidden="false" customHeight="false" outlineLevel="0" collapsed="false">
      <c r="A6" s="39" t="s">
        <v>189</v>
      </c>
      <c r="B6" s="44" t="n">
        <v>170000</v>
      </c>
      <c r="C6" s="44" t="n">
        <v>255000</v>
      </c>
      <c r="D6" s="44" t="n">
        <v>340000</v>
      </c>
      <c r="E6" s="44" t="n">
        <v>510000</v>
      </c>
      <c r="F6" s="44" t="n">
        <v>1020000</v>
      </c>
    </row>
    <row r="7" customFormat="false" ht="15" hidden="false" customHeight="false" outlineLevel="0" collapsed="false">
      <c r="A7" s="39" t="s">
        <v>190</v>
      </c>
      <c r="B7" s="44" t="n">
        <v>45000</v>
      </c>
      <c r="C7" s="44" t="n">
        <v>75000</v>
      </c>
      <c r="D7" s="44" t="n">
        <v>105000</v>
      </c>
      <c r="E7" s="44" t="n">
        <v>180000</v>
      </c>
      <c r="F7" s="44" t="n">
        <v>375000</v>
      </c>
    </row>
    <row r="8" customFormat="false" ht="15" hidden="false" customHeight="false" outlineLevel="0" collapsed="false">
      <c r="A8" s="39" t="s">
        <v>191</v>
      </c>
      <c r="B8" s="44" t="n">
        <v>120000</v>
      </c>
      <c r="C8" s="44" t="n">
        <v>120000</v>
      </c>
      <c r="D8" s="44" t="n">
        <v>240000</v>
      </c>
      <c r="E8" s="44" t="n">
        <v>360000</v>
      </c>
      <c r="F8" s="44" t="n">
        <v>600000</v>
      </c>
    </row>
    <row r="9" customFormat="false" ht="15" hidden="false" customHeight="false" outlineLevel="0" collapsed="false">
      <c r="A9" s="39" t="s">
        <v>192</v>
      </c>
      <c r="B9" s="44" t="n">
        <v>119000</v>
      </c>
      <c r="C9" s="44" t="n">
        <v>165000</v>
      </c>
      <c r="D9" s="44" t="n">
        <v>280000</v>
      </c>
      <c r="E9" s="44" t="n">
        <v>510000</v>
      </c>
      <c r="F9" s="44" t="n">
        <v>1200000</v>
      </c>
    </row>
    <row r="10" customFormat="false" ht="15" hidden="false" customHeight="false" outlineLevel="0" collapsed="false">
      <c r="A10" s="39" t="s">
        <v>193</v>
      </c>
      <c r="B10" s="44" t="n">
        <v>145000</v>
      </c>
      <c r="C10" s="44" t="n">
        <v>175000</v>
      </c>
      <c r="D10" s="44" t="n">
        <v>250000</v>
      </c>
      <c r="E10" s="44" t="n">
        <v>400000</v>
      </c>
      <c r="F10" s="44" t="n">
        <v>850000</v>
      </c>
    </row>
    <row r="11" customFormat="false" ht="15" hidden="false" customHeight="false" outlineLevel="0" collapsed="false">
      <c r="A11" s="45" t="s">
        <v>194</v>
      </c>
      <c r="B11" s="46" t="n">
        <f aca="false">SUM(B5:B10)</f>
        <v>1099000</v>
      </c>
      <c r="C11" s="46" t="n">
        <f aca="false">SUM(C5:C10)</f>
        <v>1290000</v>
      </c>
      <c r="D11" s="46" t="n">
        <f aca="false">SUM(D5:D10)</f>
        <v>1965000</v>
      </c>
      <c r="E11" s="46" t="n">
        <f aca="false">SUM(E5:E10)</f>
        <v>3210000</v>
      </c>
      <c r="F11" s="46" t="n">
        <f aca="false">SUM(F5:F10)</f>
        <v>6545000</v>
      </c>
    </row>
    <row r="13" customFormat="false" ht="15" hidden="false" customHeight="false" outlineLevel="0" collapsed="false">
      <c r="A13" s="47" t="s">
        <v>195</v>
      </c>
      <c r="B13" s="48"/>
      <c r="C13" s="48"/>
      <c r="D13" s="48"/>
      <c r="E13" s="48"/>
      <c r="F13" s="48"/>
    </row>
    <row r="14" customFormat="false" ht="15" hidden="false" customHeight="false" outlineLevel="0" collapsed="false">
      <c r="A14" s="38" t="s">
        <v>196</v>
      </c>
      <c r="B14" s="38" t="s">
        <v>47</v>
      </c>
      <c r="C14" s="38" t="s">
        <v>48</v>
      </c>
      <c r="D14" s="38" t="s">
        <v>1</v>
      </c>
      <c r="E14" s="38" t="s">
        <v>49</v>
      </c>
      <c r="F14" s="38" t="s">
        <v>50</v>
      </c>
    </row>
    <row r="15" customFormat="false" ht="15" hidden="false" customHeight="false" outlineLevel="0" collapsed="false">
      <c r="A15" s="39" t="s">
        <v>197</v>
      </c>
      <c r="B15" s="51" t="n">
        <v>2</v>
      </c>
      <c r="C15" s="51" t="n">
        <v>2</v>
      </c>
      <c r="D15" s="51" t="n">
        <v>3</v>
      </c>
      <c r="E15" s="51" t="n">
        <v>5</v>
      </c>
      <c r="F15" s="51" t="n">
        <v>10</v>
      </c>
    </row>
    <row r="16" customFormat="false" ht="15" hidden="false" customHeight="false" outlineLevel="0" collapsed="false">
      <c r="A16" s="39" t="s">
        <v>198</v>
      </c>
      <c r="B16" s="51" t="n">
        <v>2</v>
      </c>
      <c r="C16" s="51" t="n">
        <v>3</v>
      </c>
      <c r="D16" s="51" t="n">
        <v>4</v>
      </c>
      <c r="E16" s="51" t="n">
        <v>6</v>
      </c>
      <c r="F16" s="51" t="n">
        <v>12</v>
      </c>
    </row>
    <row r="17" customFormat="false" ht="15" hidden="false" customHeight="false" outlineLevel="0" collapsed="false">
      <c r="A17" s="39" t="s">
        <v>199</v>
      </c>
      <c r="B17" s="51" t="n">
        <v>3</v>
      </c>
      <c r="C17" s="51" t="n">
        <v>5</v>
      </c>
      <c r="D17" s="51" t="n">
        <v>7</v>
      </c>
      <c r="E17" s="51" t="n">
        <v>12</v>
      </c>
      <c r="F17" s="51" t="n">
        <v>25</v>
      </c>
    </row>
    <row r="18" customFormat="false" ht="15" hidden="false" customHeight="false" outlineLevel="0" collapsed="false">
      <c r="A18" s="39" t="s">
        <v>200</v>
      </c>
      <c r="B18" s="51" t="n">
        <v>1</v>
      </c>
      <c r="C18" s="51" t="n">
        <v>1</v>
      </c>
      <c r="D18" s="51" t="n">
        <v>2</v>
      </c>
      <c r="E18" s="51" t="n">
        <v>3</v>
      </c>
      <c r="F18" s="51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37" t="s">
        <v>201</v>
      </c>
    </row>
    <row r="2" customFormat="false" ht="15" hidden="false" customHeight="false" outlineLevel="0" collapsed="false">
      <c r="A2" s="52" t="s">
        <v>202</v>
      </c>
    </row>
    <row r="4" customFormat="false" ht="15" hidden="false" customHeight="false" outlineLevel="0" collapsed="false">
      <c r="A4" s="38" t="s">
        <v>117</v>
      </c>
      <c r="B4" s="38" t="s">
        <v>47</v>
      </c>
      <c r="C4" s="38" t="s">
        <v>48</v>
      </c>
      <c r="D4" s="38" t="s">
        <v>1</v>
      </c>
      <c r="E4" s="38" t="s">
        <v>49</v>
      </c>
      <c r="F4" s="38" t="s">
        <v>50</v>
      </c>
    </row>
    <row r="5" customFormat="false" ht="15" hidden="false" customHeight="false" outlineLevel="0" collapsed="false">
      <c r="A5" s="39" t="s">
        <v>203</v>
      </c>
      <c r="B5" s="44" t="n">
        <v>312000</v>
      </c>
      <c r="C5" s="44" t="n">
        <v>312000</v>
      </c>
      <c r="D5" s="44" t="n">
        <v>312000</v>
      </c>
      <c r="E5" s="44" t="n">
        <v>312000</v>
      </c>
      <c r="F5" s="44" t="n">
        <v>312000</v>
      </c>
    </row>
    <row r="6" customFormat="false" ht="15" hidden="false" customHeight="false" outlineLevel="0" collapsed="false">
      <c r="A6" s="39" t="s">
        <v>204</v>
      </c>
      <c r="B6" s="44" t="n">
        <v>777747</v>
      </c>
      <c r="C6" s="44" t="n">
        <v>777747</v>
      </c>
      <c r="D6" s="44" t="n">
        <v>777747</v>
      </c>
      <c r="E6" s="44" t="n">
        <v>777747</v>
      </c>
      <c r="F6" s="44" t="n">
        <v>777747</v>
      </c>
    </row>
    <row r="7" customFormat="false" ht="15" hidden="false" customHeight="false" outlineLevel="0" collapsed="false">
      <c r="A7" s="39" t="s">
        <v>205</v>
      </c>
      <c r="B7" s="44" t="n">
        <v>300000</v>
      </c>
      <c r="C7" s="44" t="n">
        <v>300000</v>
      </c>
      <c r="D7" s="44" t="n">
        <v>300000</v>
      </c>
      <c r="E7" s="44" t="n">
        <v>300000</v>
      </c>
      <c r="F7" s="44" t="n">
        <v>300000</v>
      </c>
    </row>
    <row r="8" customFormat="false" ht="15" hidden="false" customHeight="false" outlineLevel="0" collapsed="false">
      <c r="A8" s="39" t="s">
        <v>206</v>
      </c>
      <c r="B8" s="44" t="n">
        <v>2160000</v>
      </c>
      <c r="C8" s="44" t="n">
        <v>2160000</v>
      </c>
      <c r="D8" s="44" t="n">
        <v>2160000</v>
      </c>
      <c r="E8" s="44" t="n">
        <v>2160000</v>
      </c>
      <c r="F8" s="44" t="n">
        <v>2160000</v>
      </c>
    </row>
    <row r="9" customFormat="false" ht="15" hidden="false" customHeight="false" outlineLevel="0" collapsed="false">
      <c r="A9" s="39" t="s">
        <v>207</v>
      </c>
      <c r="B9" s="44" t="n">
        <v>1403850</v>
      </c>
      <c r="C9" s="44" t="n">
        <v>1403850</v>
      </c>
      <c r="D9" s="44" t="n">
        <v>1403850</v>
      </c>
      <c r="E9" s="44" t="n">
        <v>1403850</v>
      </c>
      <c r="F9" s="44" t="n">
        <v>1403850</v>
      </c>
    </row>
    <row r="10" customFormat="false" ht="15" hidden="false" customHeight="false" outlineLevel="0" collapsed="false">
      <c r="A10" s="39" t="s">
        <v>208</v>
      </c>
      <c r="B10" s="44" t="n">
        <v>325000</v>
      </c>
      <c r="C10" s="44" t="n">
        <v>325000</v>
      </c>
      <c r="D10" s="44" t="n">
        <v>325000</v>
      </c>
      <c r="E10" s="44" t="n">
        <v>325000</v>
      </c>
      <c r="F10" s="44" t="n">
        <v>325000</v>
      </c>
    </row>
    <row r="11" customFormat="false" ht="15" hidden="false" customHeight="false" outlineLevel="0" collapsed="false">
      <c r="A11" s="39" t="s">
        <v>209</v>
      </c>
      <c r="B11" s="44" t="n">
        <v>1060000</v>
      </c>
      <c r="C11" s="44" t="n">
        <v>1060000</v>
      </c>
      <c r="D11" s="44" t="n">
        <v>1060000</v>
      </c>
      <c r="E11" s="44" t="n">
        <v>1060000</v>
      </c>
      <c r="F11" s="44" t="n">
        <v>1060000</v>
      </c>
    </row>
    <row r="12" customFormat="false" ht="15" hidden="false" customHeight="false" outlineLevel="0" collapsed="false">
      <c r="A12" s="39" t="s">
        <v>210</v>
      </c>
      <c r="B12" s="44" t="n">
        <v>897400</v>
      </c>
      <c r="C12" s="44" t="n">
        <v>897400</v>
      </c>
      <c r="D12" s="44" t="n">
        <v>897400</v>
      </c>
      <c r="E12" s="44" t="n">
        <v>897400</v>
      </c>
      <c r="F12" s="44" t="n">
        <v>897400</v>
      </c>
    </row>
    <row r="13" customFormat="false" ht="15" hidden="false" customHeight="false" outlineLevel="0" collapsed="false">
      <c r="A13" s="39" t="s">
        <v>211</v>
      </c>
      <c r="B13" s="44" t="n">
        <v>615650</v>
      </c>
      <c r="C13" s="44" t="n">
        <v>615650</v>
      </c>
      <c r="D13" s="44" t="n">
        <v>615650</v>
      </c>
      <c r="E13" s="44" t="n">
        <v>615650</v>
      </c>
      <c r="F13" s="44" t="n">
        <v>615650</v>
      </c>
    </row>
    <row r="14" customFormat="false" ht="15" hidden="false" customHeight="false" outlineLevel="0" collapsed="false">
      <c r="A14" s="45" t="s">
        <v>212</v>
      </c>
      <c r="B14" s="46" t="n">
        <f aca="false">SUM(B5:B13)</f>
        <v>7851647</v>
      </c>
      <c r="C14" s="46" t="n">
        <f aca="false">SUM(C5:C13)</f>
        <v>7851647</v>
      </c>
      <c r="D14" s="46" t="n">
        <f aca="false">SUM(D5:D13)</f>
        <v>7851647</v>
      </c>
      <c r="E14" s="46" t="n">
        <f aca="false">SUM(E5:E13)</f>
        <v>7851647</v>
      </c>
      <c r="F14" s="46" t="n">
        <f aca="false">SUM(F5:F13)</f>
        <v>7851647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37" t="s">
        <v>213</v>
      </c>
    </row>
    <row r="3" customFormat="false" ht="15" hidden="false" customHeight="false" outlineLevel="0" collapsed="false">
      <c r="A3" s="49" t="s">
        <v>214</v>
      </c>
      <c r="B3" s="50"/>
      <c r="C3" s="50"/>
      <c r="D3" s="50"/>
      <c r="E3" s="50"/>
      <c r="F3" s="50"/>
    </row>
    <row r="4" customFormat="false" ht="15" hidden="false" customHeight="false" outlineLevel="0" collapsed="false">
      <c r="A4" s="38" t="s">
        <v>117</v>
      </c>
      <c r="B4" s="38" t="s">
        <v>47</v>
      </c>
      <c r="C4" s="38" t="s">
        <v>48</v>
      </c>
      <c r="D4" s="38" t="s">
        <v>1</v>
      </c>
      <c r="E4" s="38" t="s">
        <v>49</v>
      </c>
      <c r="F4" s="38" t="s">
        <v>50</v>
      </c>
    </row>
    <row r="5" customFormat="false" ht="15" hidden="false" customHeight="false" outlineLevel="0" collapsed="false">
      <c r="A5" s="39" t="s">
        <v>215</v>
      </c>
      <c r="B5" s="44" t="n">
        <v>500000</v>
      </c>
      <c r="C5" s="44" t="n">
        <v>500000</v>
      </c>
      <c r="D5" s="44" t="n">
        <v>500000</v>
      </c>
      <c r="E5" s="44" t="n">
        <v>500000</v>
      </c>
      <c r="F5" s="44" t="n">
        <v>500000</v>
      </c>
    </row>
    <row r="6" customFormat="false" ht="15" hidden="false" customHeight="false" outlineLevel="0" collapsed="false">
      <c r="A6" s="39" t="s">
        <v>216</v>
      </c>
      <c r="B6" s="44" t="n">
        <v>200000</v>
      </c>
      <c r="C6" s="44" t="n">
        <v>200000</v>
      </c>
      <c r="D6" s="44" t="n">
        <v>200000</v>
      </c>
      <c r="E6" s="44" t="n">
        <v>200000</v>
      </c>
      <c r="F6" s="44" t="n">
        <v>200000</v>
      </c>
    </row>
    <row r="7" customFormat="false" ht="15" hidden="false" customHeight="false" outlineLevel="0" collapsed="false">
      <c r="A7" s="45" t="s">
        <v>217</v>
      </c>
      <c r="B7" s="46" t="n">
        <f aca="false">SUM(B5:B6)</f>
        <v>700000</v>
      </c>
      <c r="C7" s="46" t="n">
        <f aca="false">SUM(C5:C6)</f>
        <v>700000</v>
      </c>
      <c r="D7" s="46" t="n">
        <f aca="false">SUM(D5:D6)</f>
        <v>700000</v>
      </c>
      <c r="E7" s="46" t="n">
        <f aca="false">SUM(E5:E6)</f>
        <v>700000</v>
      </c>
      <c r="F7" s="46" t="n">
        <f aca="false">SUM(F5:F6)</f>
        <v>700000</v>
      </c>
    </row>
    <row r="9" customFormat="false" ht="15" hidden="false" customHeight="false" outlineLevel="0" collapsed="false">
      <c r="A9" s="49" t="s">
        <v>218</v>
      </c>
      <c r="B9" s="50"/>
      <c r="C9" s="50"/>
      <c r="D9" s="50"/>
      <c r="E9" s="50"/>
      <c r="F9" s="50"/>
    </row>
    <row r="10" customFormat="false" ht="15" hidden="false" customHeight="false" outlineLevel="0" collapsed="false">
      <c r="A10" s="38" t="s">
        <v>117</v>
      </c>
      <c r="B10" s="38" t="s">
        <v>47</v>
      </c>
      <c r="C10" s="38" t="s">
        <v>48</v>
      </c>
      <c r="D10" s="38" t="s">
        <v>1</v>
      </c>
      <c r="E10" s="38" t="s">
        <v>49</v>
      </c>
      <c r="F10" s="38" t="s">
        <v>50</v>
      </c>
    </row>
    <row r="11" customFormat="false" ht="15" hidden="false" customHeight="false" outlineLevel="0" collapsed="false">
      <c r="A11" s="39" t="s">
        <v>219</v>
      </c>
      <c r="B11" s="54" t="n">
        <f aca="false">'Operating Costs'!B14*0.1</f>
        <v>891400</v>
      </c>
      <c r="C11" s="54" t="n">
        <f aca="false">'Operating Costs'!C14*0.1</f>
        <v>944400</v>
      </c>
      <c r="D11" s="54" t="n">
        <f aca="false">'Operating Costs'!D14*0.1</f>
        <v>1084400</v>
      </c>
      <c r="E11" s="54" t="n">
        <f aca="false">'Operating Costs'!E14*0.1</f>
        <v>1364400</v>
      </c>
      <c r="F11" s="54" t="n">
        <f aca="false">'Operating Costs'!F14*0.1</f>
        <v>2189400</v>
      </c>
    </row>
    <row r="12" customFormat="false" ht="15" hidden="false" customHeight="false" outlineLevel="0" collapsed="false">
      <c r="A12" s="39" t="s">
        <v>220</v>
      </c>
      <c r="B12" s="54" t="n">
        <f aca="false">Implementation!B9*0.1</f>
        <v>150000</v>
      </c>
      <c r="C12" s="54" t="n">
        <f aca="false">Implementation!C9*0.1</f>
        <v>150000</v>
      </c>
      <c r="D12" s="54" t="n">
        <f aca="false">Implementation!D9*0.1</f>
        <v>150000</v>
      </c>
      <c r="E12" s="54" t="n">
        <f aca="false">Implementation!E9*0.1</f>
        <v>150000</v>
      </c>
      <c r="F12" s="54" t="n">
        <f aca="false">Implementation!F9*0.1</f>
        <v>150000</v>
      </c>
    </row>
    <row r="13" customFormat="false" ht="15" hidden="false" customHeight="false" outlineLevel="0" collapsed="false">
      <c r="A13" s="45" t="s">
        <v>221</v>
      </c>
      <c r="B13" s="46" t="n">
        <f aca="false">SUM(B11:B12)</f>
        <v>1041400</v>
      </c>
      <c r="C13" s="46" t="n">
        <f aca="false">SUM(C11:C12)</f>
        <v>1094400</v>
      </c>
      <c r="D13" s="46" t="n">
        <f aca="false">SUM(D11:D12)</f>
        <v>1234400</v>
      </c>
      <c r="E13" s="46" t="n">
        <f aca="false">SUM(E11:E12)</f>
        <v>1514400</v>
      </c>
      <c r="F13" s="46" t="n">
        <f aca="false">SUM(F11:F12)</f>
        <v>2339400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37" t="s">
        <v>222</v>
      </c>
    </row>
    <row r="3" customFormat="false" ht="15" hidden="false" customHeight="false" outlineLevel="0" collapsed="false">
      <c r="A3" s="47" t="s">
        <v>223</v>
      </c>
      <c r="B3" s="48"/>
      <c r="C3" s="48"/>
      <c r="D3" s="48"/>
      <c r="E3" s="48"/>
      <c r="F3" s="48"/>
    </row>
    <row r="5" customFormat="false" ht="15" hidden="false" customHeight="false" outlineLevel="0" collapsed="false">
      <c r="A5" s="38" t="s">
        <v>25</v>
      </c>
      <c r="B5" s="38" t="s">
        <v>47</v>
      </c>
      <c r="C5" s="38" t="s">
        <v>48</v>
      </c>
      <c r="D5" s="38" t="s">
        <v>1</v>
      </c>
      <c r="E5" s="38" t="s">
        <v>49</v>
      </c>
      <c r="F5" s="38" t="s">
        <v>50</v>
      </c>
    </row>
    <row r="6" customFormat="false" ht="15" hidden="false" customHeight="false" outlineLevel="0" collapsed="false">
      <c r="A6" s="41" t="s">
        <v>224</v>
      </c>
      <c r="B6" s="44" t="n">
        <v>21962400</v>
      </c>
      <c r="C6" s="44" t="n">
        <v>36604000</v>
      </c>
      <c r="D6" s="44" t="n">
        <v>73208000</v>
      </c>
      <c r="E6" s="44" t="n">
        <v>146416000</v>
      </c>
      <c r="F6" s="44" t="n">
        <v>366040000</v>
      </c>
    </row>
    <row r="7" customFormat="false" ht="15" hidden="false" customHeight="false" outlineLevel="0" collapsed="false">
      <c r="A7" s="57" t="s">
        <v>225</v>
      </c>
    </row>
    <row r="8" customFormat="false" ht="15" hidden="false" customHeight="false" outlineLevel="0" collapsed="false">
      <c r="A8" s="39" t="s">
        <v>226</v>
      </c>
      <c r="B8" s="54" t="n">
        <f aca="false">Manufacturing!B16</f>
        <v>6269700</v>
      </c>
      <c r="C8" s="54" t="n">
        <f aca="false">Manufacturing!C16</f>
        <v>10449500</v>
      </c>
      <c r="D8" s="54" t="n">
        <f aca="false">Manufacturing!D16</f>
        <v>17899000</v>
      </c>
      <c r="E8" s="54" t="n">
        <f aca="false">Manufacturing!E16</f>
        <v>35798000</v>
      </c>
      <c r="F8" s="54" t="n">
        <f aca="false">Manufacturing!F16</f>
        <v>77595000</v>
      </c>
    </row>
    <row r="9" customFormat="false" ht="15" hidden="false" customHeight="false" outlineLevel="0" collapsed="false">
      <c r="A9" s="39" t="s">
        <v>227</v>
      </c>
      <c r="B9" s="54" t="n">
        <f aca="false">'Operating Costs'!B14*0.2</f>
        <v>1782800</v>
      </c>
      <c r="C9" s="54" t="n">
        <f aca="false">'Operating Costs'!C14*0.2</f>
        <v>1888800</v>
      </c>
      <c r="D9" s="54" t="n">
        <f aca="false">'Operating Costs'!D14*0.2</f>
        <v>2168800</v>
      </c>
      <c r="E9" s="54" t="n">
        <f aca="false">'Operating Costs'!E14*0.2</f>
        <v>2728800</v>
      </c>
      <c r="F9" s="54" t="n">
        <f aca="false">'Operating Costs'!F14*0.2</f>
        <v>4378800</v>
      </c>
    </row>
    <row r="10" customFormat="false" ht="15" hidden="false" customHeight="false" outlineLevel="0" collapsed="false">
      <c r="A10" s="39" t="s">
        <v>228</v>
      </c>
      <c r="B10" s="54" t="n">
        <f aca="false">Implementation!B9</f>
        <v>1500000</v>
      </c>
      <c r="C10" s="54" t="n">
        <f aca="false">Implementation!C9</f>
        <v>1500000</v>
      </c>
      <c r="D10" s="54" t="n">
        <f aca="false">Implementation!D9</f>
        <v>1500000</v>
      </c>
      <c r="E10" s="54" t="n">
        <f aca="false">Implementation!E9</f>
        <v>1500000</v>
      </c>
      <c r="F10" s="54" t="n">
        <f aca="false">Implementation!F9</f>
        <v>1500000</v>
      </c>
    </row>
    <row r="11" customFormat="false" ht="15" hidden="false" customHeight="false" outlineLevel="0" collapsed="false">
      <c r="A11" s="39" t="s">
        <v>229</v>
      </c>
      <c r="B11" s="54" t="n">
        <f aca="false">Equipment!B11</f>
        <v>1099000</v>
      </c>
      <c r="C11" s="54" t="n">
        <f aca="false">Equipment!C11</f>
        <v>1290000</v>
      </c>
      <c r="D11" s="54" t="n">
        <f aca="false">Equipment!D11</f>
        <v>1965000</v>
      </c>
      <c r="E11" s="54" t="n">
        <f aca="false">Equipment!E11</f>
        <v>3210000</v>
      </c>
      <c r="F11" s="54" t="n">
        <f aca="false">Equipment!F11</f>
        <v>6545000</v>
      </c>
    </row>
    <row r="12" customFormat="false" ht="15" hidden="false" customHeight="false" outlineLevel="0" collapsed="false">
      <c r="A12" s="39" t="s">
        <v>230</v>
      </c>
      <c r="B12" s="54" t="n">
        <f aca="false">Development!B14</f>
        <v>7851647</v>
      </c>
      <c r="C12" s="54" t="n">
        <f aca="false">Development!C14</f>
        <v>7851647</v>
      </c>
      <c r="D12" s="54" t="n">
        <f aca="false">Development!D14</f>
        <v>7851647</v>
      </c>
      <c r="E12" s="54" t="n">
        <f aca="false">Development!E14</f>
        <v>7851647</v>
      </c>
      <c r="F12" s="54" t="n">
        <f aca="false">Development!F14</f>
        <v>7851647</v>
      </c>
    </row>
    <row r="13" customFormat="false" ht="15" hidden="false" customHeight="false" outlineLevel="0" collapsed="false">
      <c r="A13" s="39" t="s">
        <v>231</v>
      </c>
      <c r="B13" s="54" t="n">
        <f aca="false">Financing!B7</f>
        <v>700000</v>
      </c>
      <c r="C13" s="54" t="n">
        <f aca="false">Financing!C7</f>
        <v>700000</v>
      </c>
      <c r="D13" s="54" t="n">
        <f aca="false">Financing!D7</f>
        <v>700000</v>
      </c>
      <c r="E13" s="54" t="n">
        <f aca="false">Financing!E7</f>
        <v>700000</v>
      </c>
      <c r="F13" s="54" t="n">
        <f aca="false">Financing!F7</f>
        <v>700000</v>
      </c>
    </row>
    <row r="14" customFormat="false" ht="15" hidden="false" customHeight="false" outlineLevel="0" collapsed="false">
      <c r="A14" s="39" t="s">
        <v>232</v>
      </c>
      <c r="B14" s="54" t="n">
        <f aca="false">Financing!B13*0.2</f>
        <v>208280</v>
      </c>
      <c r="C14" s="54" t="n">
        <f aca="false">Financing!C13*0.2</f>
        <v>218880</v>
      </c>
      <c r="D14" s="54" t="n">
        <f aca="false">Financing!D13*0.2</f>
        <v>246880</v>
      </c>
      <c r="E14" s="54" t="n">
        <f aca="false">Financing!E13*0.2</f>
        <v>302880</v>
      </c>
      <c r="F14" s="54" t="n">
        <f aca="false">Financing!F13*0.2</f>
        <v>467880</v>
      </c>
    </row>
    <row r="15" customFormat="false" ht="15" hidden="false" customHeight="false" outlineLevel="0" collapsed="false">
      <c r="A15" s="49" t="s">
        <v>233</v>
      </c>
      <c r="B15" s="58" t="n">
        <f aca="false">SUM(B8:B14)</f>
        <v>19411427</v>
      </c>
      <c r="C15" s="58" t="n">
        <f aca="false">SUM(C8:C14)</f>
        <v>23898827</v>
      </c>
      <c r="D15" s="58" t="n">
        <f aca="false">SUM(D8:D14)</f>
        <v>32331327</v>
      </c>
      <c r="E15" s="58" t="n">
        <f aca="false">SUM(E8:E14)</f>
        <v>52091327</v>
      </c>
      <c r="F15" s="58" t="n">
        <f aca="false">SUM(F8:F14)</f>
        <v>99038327</v>
      </c>
    </row>
    <row r="16" customFormat="false" ht="15" hidden="false" customHeight="false" outlineLevel="0" collapsed="false">
      <c r="A16" s="45" t="s">
        <v>234</v>
      </c>
      <c r="B16" s="46" t="n">
        <f aca="false">B6-B15</f>
        <v>2550973</v>
      </c>
      <c r="C16" s="46" t="n">
        <f aca="false">C6-C15</f>
        <v>12705173</v>
      </c>
      <c r="D16" s="46" t="n">
        <f aca="false">D6-D15</f>
        <v>40876673</v>
      </c>
      <c r="E16" s="46" t="n">
        <f aca="false">E6-E15</f>
        <v>94324673</v>
      </c>
      <c r="F16" s="46" t="n">
        <f aca="false">F6-F15</f>
        <v>267001673</v>
      </c>
    </row>
    <row r="17" customFormat="false" ht="15" hidden="false" customHeight="false" outlineLevel="0" collapsed="false">
      <c r="A17" s="39" t="s">
        <v>235</v>
      </c>
      <c r="B17" s="59" t="n">
        <f aca="false">IF(B6&gt;0,B16/B6,0)</f>
        <v>0.116151832222344</v>
      </c>
      <c r="C17" s="59" t="n">
        <f aca="false">IF(C6&gt;0,C16/C6,0)</f>
        <v>0.347097940115834</v>
      </c>
      <c r="D17" s="59" t="n">
        <f aca="false">IF(D6&gt;0,D16/D6,0)</f>
        <v>0.558363471205333</v>
      </c>
      <c r="E17" s="59" t="n">
        <f aca="false">IF(E6&gt;0,E16/E6,0)</f>
        <v>0.644223807507376</v>
      </c>
      <c r="F17" s="59" t="n">
        <f aca="false">IF(F6&gt;0,F16/F6,0)</f>
        <v>0.729433048300732</v>
      </c>
    </row>
    <row r="19" customFormat="false" ht="15" hidden="false" customHeight="false" outlineLevel="0" collapsed="false">
      <c r="A19" s="47" t="s">
        <v>236</v>
      </c>
      <c r="B19" s="48"/>
      <c r="C19" s="48"/>
      <c r="D19" s="48"/>
      <c r="E19" s="48"/>
      <c r="F19" s="48"/>
    </row>
    <row r="21" customFormat="false" ht="15" hidden="false" customHeight="false" outlineLevel="0" collapsed="false">
      <c r="A21" s="38" t="s">
        <v>25</v>
      </c>
      <c r="B21" s="38" t="s">
        <v>47</v>
      </c>
      <c r="C21" s="38" t="s">
        <v>48</v>
      </c>
      <c r="D21" s="38" t="s">
        <v>1</v>
      </c>
      <c r="E21" s="38" t="s">
        <v>49</v>
      </c>
      <c r="F21" s="38" t="s">
        <v>50</v>
      </c>
    </row>
    <row r="22" customFormat="false" ht="15" hidden="false" customHeight="false" outlineLevel="0" collapsed="false">
      <c r="A22" s="39" t="s">
        <v>237</v>
      </c>
      <c r="B22" s="54" t="n">
        <f aca="false">Revenue!B34</f>
        <v>101412000</v>
      </c>
      <c r="C22" s="54" t="n">
        <f aca="false">Revenue!C34</f>
        <v>169020000</v>
      </c>
      <c r="D22" s="54" t="n">
        <f aca="false">Revenue!D34</f>
        <v>338040000</v>
      </c>
      <c r="E22" s="54" t="n">
        <f aca="false">Revenue!E34</f>
        <v>676080000</v>
      </c>
      <c r="F22" s="54" t="n">
        <f aca="false">Revenue!F34</f>
        <v>1690200000</v>
      </c>
    </row>
    <row r="23" customFormat="false" ht="15" hidden="false" customHeight="false" outlineLevel="0" collapsed="false">
      <c r="A23" s="39" t="s">
        <v>238</v>
      </c>
      <c r="B23" s="54" t="n">
        <f aca="false">Manufacturing!B16+'Operating Costs'!B14+Implementation!B9+Equipment!B11+Development!B14+Financing!B7+Financing!B13</f>
        <v>27375747</v>
      </c>
      <c r="C23" s="54" t="n">
        <f aca="false">Manufacturing!C16+'Operating Costs'!C14+Implementation!C9+Equipment!C11+Development!C14+Financing!C7+Financing!C13</f>
        <v>32329547</v>
      </c>
      <c r="D23" s="54" t="n">
        <f aca="false">Manufacturing!D16+'Operating Costs'!D14+Implementation!D9+Equipment!D11+Development!D14+Financing!D7+Financing!D13</f>
        <v>41994047</v>
      </c>
      <c r="E23" s="54" t="n">
        <f aca="false">Manufacturing!E16+'Operating Costs'!E14+Implementation!E9+Equipment!E11+Development!E14+Financing!E7+Financing!E13</f>
        <v>64218047</v>
      </c>
      <c r="F23" s="54" t="n">
        <f aca="false">Manufacturing!F16+'Operating Costs'!F14+Implementation!F9+Equipment!F11+Development!F14+Financing!F7+Financing!F13</f>
        <v>118425047</v>
      </c>
    </row>
    <row r="24" customFormat="false" ht="15" hidden="false" customHeight="false" outlineLevel="0" collapsed="false">
      <c r="A24" s="45" t="s">
        <v>239</v>
      </c>
      <c r="B24" s="46" t="n">
        <f aca="false">B22-B23</f>
        <v>74036253</v>
      </c>
      <c r="C24" s="46" t="n">
        <f aca="false">C22-C23</f>
        <v>136690453</v>
      </c>
      <c r="D24" s="46" t="n">
        <f aca="false">D22-D23</f>
        <v>296045953</v>
      </c>
      <c r="E24" s="46" t="n">
        <f aca="false">E22-E23</f>
        <v>611861953</v>
      </c>
      <c r="F24" s="46" t="n">
        <f aca="false">F22-F23</f>
        <v>1571774953</v>
      </c>
    </row>
    <row r="25" customFormat="false" ht="15" hidden="false" customHeight="false" outlineLevel="0" collapsed="false">
      <c r="A25" s="39" t="s">
        <v>240</v>
      </c>
      <c r="B25" s="59" t="n">
        <f aca="false">IF(B23&gt;0,B24/B23,0)</f>
        <v>2.70444685947748</v>
      </c>
      <c r="C25" s="59" t="n">
        <f aca="false">IF(C23&gt;0,C24/C23,0)</f>
        <v>4.22803489946828</v>
      </c>
      <c r="D25" s="59" t="n">
        <f aca="false">IF(D23&gt;0,D24/D23,0)</f>
        <v>7.04971237947131</v>
      </c>
      <c r="E25" s="59" t="n">
        <f aca="false">IF(E23&gt;0,E24/E23,0)</f>
        <v>9.52788167164287</v>
      </c>
      <c r="F25" s="59" t="n">
        <f aca="false">IF(F23&gt;0,F24/F23,0)</f>
        <v>13.2723185915223</v>
      </c>
    </row>
    <row r="26" customFormat="false" ht="15" hidden="false" customHeight="false" outlineLevel="0" collapsed="false">
      <c r="A26" s="39" t="s">
        <v>241</v>
      </c>
      <c r="B26" s="59" t="n">
        <f aca="false">IF(B22&gt;0,B24/B22,0)</f>
        <v>0.730054165187552</v>
      </c>
      <c r="C26" s="59" t="n">
        <f aca="false">IF(C22&gt;0,C24/C22,0)</f>
        <v>0.808723541592711</v>
      </c>
      <c r="D26" s="59" t="n">
        <f aca="false">IF(D22&gt;0,D24/D22,0)</f>
        <v>0.87577195893977</v>
      </c>
      <c r="E26" s="59" t="n">
        <f aca="false">IF(E22&gt;0,E24/E22,0)</f>
        <v>0.905014129984617</v>
      </c>
      <c r="F26" s="59" t="n">
        <f aca="false">IF(F22&gt;0,F24/F22,0)</f>
        <v>0.929934299491184</v>
      </c>
    </row>
    <row r="27" customFormat="false" ht="15" hidden="false" customHeight="false" outlineLevel="0" collapsed="false">
      <c r="A27" s="39" t="s">
        <v>242</v>
      </c>
      <c r="B27" s="60" t="n">
        <v>7.6</v>
      </c>
      <c r="C27" s="60" t="n">
        <v>7.2</v>
      </c>
      <c r="D27" s="60" t="n">
        <v>4.2</v>
      </c>
      <c r="E27" s="60" t="n">
        <v>3.9</v>
      </c>
      <c r="F27" s="60" t="n">
        <v>3.5</v>
      </c>
    </row>
    <row r="28" customFormat="false" ht="15" hidden="false" customHeight="false" outlineLevel="0" collapsed="false">
      <c r="A28" s="39" t="s">
        <v>243</v>
      </c>
      <c r="B28" s="44" t="n">
        <v>65500000</v>
      </c>
      <c r="C28" s="44" t="n">
        <v>119300000</v>
      </c>
      <c r="D28" s="44" t="n">
        <v>259647182</v>
      </c>
      <c r="E28" s="44" t="n">
        <v>538200000</v>
      </c>
      <c r="F28" s="44" t="n">
        <v>1390000000</v>
      </c>
    </row>
    <row r="30" customFormat="false" ht="15" hidden="false" customHeight="false" outlineLevel="0" collapsed="false">
      <c r="A30" s="47" t="s">
        <v>244</v>
      </c>
      <c r="B30" s="48"/>
      <c r="C30" s="48"/>
      <c r="D30" s="48"/>
      <c r="E30" s="48"/>
      <c r="F30" s="48"/>
    </row>
    <row r="32" customFormat="false" ht="15" hidden="false" customHeight="false" outlineLevel="0" collapsed="false">
      <c r="A32" s="38" t="s">
        <v>245</v>
      </c>
      <c r="B32" s="38" t="s">
        <v>47</v>
      </c>
      <c r="C32" s="38" t="s">
        <v>48</v>
      </c>
      <c r="D32" s="38" t="s">
        <v>1</v>
      </c>
      <c r="E32" s="38" t="s">
        <v>49</v>
      </c>
      <c r="F32" s="38" t="s">
        <v>50</v>
      </c>
    </row>
    <row r="33" customFormat="false" ht="15" hidden="false" customHeight="false" outlineLevel="0" collapsed="false">
      <c r="A33" s="39" t="s">
        <v>246</v>
      </c>
      <c r="B33" s="54" t="n">
        <f aca="false">Manufacturing!B16</f>
        <v>6269700</v>
      </c>
      <c r="C33" s="54" t="n">
        <f aca="false">Manufacturing!C16</f>
        <v>10449500</v>
      </c>
      <c r="D33" s="54" t="n">
        <f aca="false">Manufacturing!D16</f>
        <v>17899000</v>
      </c>
      <c r="E33" s="54" t="n">
        <f aca="false">Manufacturing!E16</f>
        <v>35798000</v>
      </c>
      <c r="F33" s="54" t="n">
        <f aca="false">Manufacturing!F16</f>
        <v>77595000</v>
      </c>
    </row>
    <row r="34" customFormat="false" ht="15" hidden="false" customHeight="false" outlineLevel="0" collapsed="false">
      <c r="A34" s="39" t="s">
        <v>247</v>
      </c>
      <c r="B34" s="54" t="n">
        <f aca="false">'Operating Costs'!B14</f>
        <v>8914000</v>
      </c>
      <c r="C34" s="54" t="n">
        <f aca="false">'Operating Costs'!C14</f>
        <v>9444000</v>
      </c>
      <c r="D34" s="54" t="n">
        <f aca="false">'Operating Costs'!D14</f>
        <v>10844000</v>
      </c>
      <c r="E34" s="54" t="n">
        <f aca="false">'Operating Costs'!E14</f>
        <v>13644000</v>
      </c>
      <c r="F34" s="54" t="n">
        <f aca="false">'Operating Costs'!F14</f>
        <v>21894000</v>
      </c>
    </row>
    <row r="35" customFormat="false" ht="15" hidden="false" customHeight="false" outlineLevel="0" collapsed="false">
      <c r="A35" s="39" t="s">
        <v>248</v>
      </c>
      <c r="B35" s="54" t="n">
        <f aca="false">Implementation!B9</f>
        <v>1500000</v>
      </c>
      <c r="C35" s="54" t="n">
        <f aca="false">Implementation!C9</f>
        <v>1500000</v>
      </c>
      <c r="D35" s="54" t="n">
        <f aca="false">Implementation!D9</f>
        <v>1500000</v>
      </c>
      <c r="E35" s="54" t="n">
        <f aca="false">Implementation!E9</f>
        <v>1500000</v>
      </c>
      <c r="F35" s="54" t="n">
        <f aca="false">Implementation!F9</f>
        <v>1500000</v>
      </c>
    </row>
    <row r="36" customFormat="false" ht="15" hidden="false" customHeight="false" outlineLevel="0" collapsed="false">
      <c r="A36" s="39" t="s">
        <v>249</v>
      </c>
      <c r="B36" s="54" t="n">
        <f aca="false">Equipment!B11</f>
        <v>1099000</v>
      </c>
      <c r="C36" s="54" t="n">
        <f aca="false">Equipment!C11</f>
        <v>1290000</v>
      </c>
      <c r="D36" s="54" t="n">
        <f aca="false">Equipment!D11</f>
        <v>1965000</v>
      </c>
      <c r="E36" s="54" t="n">
        <f aca="false">Equipment!E11</f>
        <v>3210000</v>
      </c>
      <c r="F36" s="54" t="n">
        <f aca="false">Equipment!F11</f>
        <v>6545000</v>
      </c>
    </row>
    <row r="37" customFormat="false" ht="15" hidden="false" customHeight="false" outlineLevel="0" collapsed="false">
      <c r="A37" s="39" t="s">
        <v>250</v>
      </c>
      <c r="B37" s="54" t="n">
        <f aca="false">Development!B14</f>
        <v>7851647</v>
      </c>
      <c r="C37" s="54" t="n">
        <f aca="false">Development!C14</f>
        <v>7851647</v>
      </c>
      <c r="D37" s="54" t="n">
        <f aca="false">Development!D14</f>
        <v>7851647</v>
      </c>
      <c r="E37" s="54" t="n">
        <f aca="false">Development!E14</f>
        <v>7851647</v>
      </c>
      <c r="F37" s="54" t="n">
        <f aca="false">Development!F14</f>
        <v>7851647</v>
      </c>
    </row>
    <row r="38" customFormat="false" ht="15" hidden="false" customHeight="false" outlineLevel="0" collapsed="false">
      <c r="A38" s="39" t="s">
        <v>231</v>
      </c>
      <c r="B38" s="54" t="n">
        <f aca="false">Financing!B7</f>
        <v>700000</v>
      </c>
      <c r="C38" s="54" t="n">
        <f aca="false">Financing!C7</f>
        <v>700000</v>
      </c>
      <c r="D38" s="54" t="n">
        <f aca="false">Financing!D7</f>
        <v>700000</v>
      </c>
      <c r="E38" s="54" t="n">
        <f aca="false">Financing!E7</f>
        <v>700000</v>
      </c>
      <c r="F38" s="54" t="n">
        <f aca="false">Financing!F7</f>
        <v>700000</v>
      </c>
    </row>
    <row r="39" customFormat="false" ht="15" hidden="false" customHeight="false" outlineLevel="0" collapsed="false">
      <c r="A39" s="39" t="s">
        <v>251</v>
      </c>
      <c r="B39" s="54" t="n">
        <f aca="false">Financing!B13</f>
        <v>1041400</v>
      </c>
      <c r="C39" s="54" t="n">
        <f aca="false">Financing!C13</f>
        <v>1094400</v>
      </c>
      <c r="D39" s="54" t="n">
        <f aca="false">Financing!D13</f>
        <v>1234400</v>
      </c>
      <c r="E39" s="54" t="n">
        <f aca="false">Financing!E13</f>
        <v>1514400</v>
      </c>
      <c r="F39" s="54" t="n">
        <f aca="false">Financing!F13</f>
        <v>2339400</v>
      </c>
    </row>
    <row r="40" customFormat="false" ht="15" hidden="false" customHeight="false" outlineLevel="0" collapsed="false">
      <c r="A40" s="45" t="s">
        <v>252</v>
      </c>
      <c r="B40" s="46" t="n">
        <f aca="false">SUM(B33:B39)</f>
        <v>27375747</v>
      </c>
      <c r="C40" s="46" t="n">
        <f aca="false">SUM(C33:C39)</f>
        <v>32329547</v>
      </c>
      <c r="D40" s="46" t="n">
        <f aca="false">SUM(D33:D39)</f>
        <v>41994047</v>
      </c>
      <c r="E40" s="46" t="n">
        <f aca="false">SUM(E33:E39)</f>
        <v>64218047</v>
      </c>
      <c r="F40" s="46" t="n">
        <f aca="false">SUM(F33:F39)</f>
        <v>118425047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2026-03-05T17:21:23Z</dcterms:created>
  <dc:creator>openpyxl</dc:creator>
  <dc:description/>
  <dc:language>en-US</dc:language>
  <cp:lastModifiedBy/>
  <dcterms:modified xsi:type="dcterms:W3CDTF">2026-03-05T17:21:29Z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