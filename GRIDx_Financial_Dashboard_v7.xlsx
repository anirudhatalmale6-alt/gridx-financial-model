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evenue" sheetId="2" state="visible" r:id="rId4"/>
    <sheet name="Cost Detail" sheetId="3" state="visible" r:id="rId5"/>
    <sheet name="5 Year Model" sheetId="4" state="visible" r:id="rId6"/>
  </sheets>
  <definedNames>
    <definedName function="false" hidden="false" localSheetId="0" name="_xlnm.Print_Area" vbProcedure="false">Dashboard!$A$1:$Q$44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<sst xmlns="http://schemas.openxmlformats.org/spreadsheetml/2006/main" count="239" uniqueCount="163">
  <si>
    <t xml:space="preserve">GRIDx Smart Meter — 5-Year Financial Model</t>
  </si>
  <si>
    <t xml:space="preserve">Input Parameters</t>
  </si>
  <si>
    <t xml:space="preserve">Total Revenue (5Y)</t>
  </si>
  <si>
    <t xml:space="preserve">Net Profit (5Y)</t>
  </si>
  <si>
    <t xml:space="preserve">Gross Margin</t>
  </si>
  <si>
    <t xml:space="preserve">Payback Period</t>
  </si>
  <si>
    <t xml:space="preserve">Meter Rollout:</t>
  </si>
  <si>
    <t xml:space="preserve">10,000 Meters</t>
  </si>
  <si>
    <t xml:space="preserve">Hardware Price</t>
  </si>
  <si>
    <t xml:space="preserve">Per Unit/Year</t>
  </si>
  <si>
    <t xml:space="preserve">Installation Fee</t>
  </si>
  <si>
    <t xml:space="preserve">One-Time</t>
  </si>
  <si>
    <t xml:space="preserve">Manufacturing Cost</t>
  </si>
  <si>
    <t xml:space="preserve">Per Unit</t>
  </si>
  <si>
    <t xml:space="preserve">Personnel (Annual)</t>
  </si>
  <si>
    <t xml:space="preserve">Per Year</t>
  </si>
  <si>
    <t xml:space="preserve">Service Revenue</t>
  </si>
  <si>
    <t xml:space="preserve">Profit Margins</t>
  </si>
  <si>
    <t xml:space="preserve">Total 5Y Costs</t>
  </si>
  <si>
    <t xml:space="preserve">5-Year</t>
  </si>
  <si>
    <t xml:space="preserve">Operating Margin</t>
  </si>
  <si>
    <t xml:space="preserve">Net Margin</t>
  </si>
  <si>
    <t xml:space="preserve">Net Profit</t>
  </si>
  <si>
    <t xml:space="preserve">Months</t>
  </si>
  <si>
    <t xml:space="preserve">Scenario Comparison</t>
  </si>
  <si>
    <t xml:space="preserve">Metric</t>
  </si>
  <si>
    <t xml:space="preserve">3K</t>
  </si>
  <si>
    <t xml:space="preserve">5K</t>
  </si>
  <si>
    <t xml:space="preserve">10K</t>
  </si>
  <si>
    <t xml:space="preserve">20K</t>
  </si>
  <si>
    <t xml:space="preserve">50K</t>
  </si>
  <si>
    <t xml:space="preserve">Total Costs (5Y)</t>
  </si>
  <si>
    <t xml:space="preserve">DCF Valuation</t>
  </si>
  <si>
    <t xml:space="preserve">DATA AREA</t>
  </si>
  <si>
    <t xml:space="preserve">3,000 Meters</t>
  </si>
  <si>
    <t xml:space="preserve">5,000 Meters</t>
  </si>
  <si>
    <t xml:space="preserve">20,000 Meters</t>
  </si>
  <si>
    <t xml:space="preserve">50,000 Meters</t>
  </si>
  <si>
    <t xml:space="preserve">Index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</si>
  <si>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</si>
  <si>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</si>
  <si>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</si>
  <si>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</si>
  <si>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</si>
  <si>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Revenue M</t>
  </si>
  <si>
    <t xml:space="preserve">Costs M</t>
  </si>
  <si>
    <t xml:space="preserve">Profit M</t>
  </si>
  <si>
    <t xml:space="preserve">Cum Rev M</t>
  </si>
  <si>
    <t xml:space="preserve">Cum Prof M</t>
  </si>
  <si>
    <t xml:space="preserve">Manufacturing</t>
  </si>
  <si>
    <t xml:space="preserve">Operating</t>
  </si>
  <si>
    <t xml:space="preserve">Implementation</t>
  </si>
  <si>
    <t xml:space="preserve">Equipment</t>
  </si>
  <si>
    <t xml:space="preserve">Development</t>
  </si>
  <si>
    <t xml:space="preserve">Financing</t>
  </si>
  <si>
    <t xml:space="preserve">Contingency</t>
  </si>
  <si>
    <t xml:space="preserve">Revenue Model — Per Meter Rates</t>
  </si>
  <si>
    <t xml:space="preserve">Revenue Stream</t>
  </si>
  <si>
    <t xml:space="preserve">Rate</t>
  </si>
  <si>
    <t xml:space="preserve">Adoption</t>
  </si>
  <si>
    <t xml:space="preserve">Basis</t>
  </si>
  <si>
    <t xml:space="preserve">Annual per Meter (N$)</t>
  </si>
  <si>
    <t xml:space="preserve">Meter Hardware Sale</t>
  </si>
  <si>
    <t xml:space="preserve">N$5,500 (annual)</t>
  </si>
  <si>
    <t xml:space="preserve">100%</t>
  </si>
  <si>
    <t xml:space="preserve">Annual revenue per meter</t>
  </si>
  <si>
    <t xml:space="preserve">Meter Installation Fee</t>
  </si>
  <si>
    <t xml:space="preserve">N$700 (one-time)</t>
  </si>
  <si>
    <t xml:space="preserve">One-time per new meter</t>
  </si>
  <si>
    <t xml:space="preserve">Maintenance Fees</t>
  </si>
  <si>
    <t xml:space="preserve">N$300 / year</t>
  </si>
  <si>
    <t xml:space="preserve">Annual maintenance</t>
  </si>
  <si>
    <t xml:space="preserve">Wi-Fi Subscription</t>
  </si>
  <si>
    <t xml:space="preserve">N$25 / month</t>
  </si>
  <si>
    <t xml:space="preserve">30%</t>
  </si>
  <si>
    <t xml:space="preserve">30% × N$25 × 12</t>
  </si>
  <si>
    <t xml:space="preserve">SMS Notifications</t>
  </si>
  <si>
    <t xml:space="preserve">N$2.50 / SMS</t>
  </si>
  <si>
    <t xml:space="preserve">50%</t>
  </si>
  <si>
    <t xml:space="preserve">50% × 2 SMS × N$2.50 × 12</t>
  </si>
  <si>
    <t xml:space="preserve">Mobile App Subscription</t>
  </si>
  <si>
    <t xml:space="preserve">N$65 / month</t>
  </si>
  <si>
    <t xml:space="preserve">80%</t>
  </si>
  <si>
    <t xml:space="preserve">80% × N$65 × 12</t>
  </si>
  <si>
    <t xml:space="preserve">Real Estate Management</t>
  </si>
  <si>
    <t xml:space="preserve">N$3,200/block/mo</t>
  </si>
  <si>
    <t xml:space="preserve">1 per 500m</t>
  </si>
  <si>
    <t xml:space="preserve">(meters÷500)×3200×12÷meters</t>
  </si>
  <si>
    <t xml:space="preserve">Annual Recurring per Meter</t>
  </si>
  <si>
    <t xml:space="preserve">Year 1 Total per Meter (incl. installation)</t>
  </si>
  <si>
    <t xml:space="preserve">5-Year Revenue by Scenario</t>
  </si>
  <si>
    <t xml:space="preserve">Hardware Sales</t>
  </si>
  <si>
    <t xml:space="preserve">Installation Fees</t>
  </si>
  <si>
    <t xml:space="preserve">Wi-Fi Subscriptions</t>
  </si>
  <si>
    <t xml:space="preserve">Mobile App Subscriptions</t>
  </si>
  <si>
    <t xml:space="preserve">Total 5-Year Revenue</t>
  </si>
  <si>
    <t xml:space="preserve">Complete Cost Structure — 5-Year Projections</t>
  </si>
  <si>
    <t xml:space="preserve">MANUFACTURING COSTS</t>
  </si>
  <si>
    <t xml:space="preserve">Cost Item</t>
  </si>
  <si>
    <t xml:space="preserve">Meter Hardware</t>
  </si>
  <si>
    <t xml:space="preserve">Spare Parts Inventory (2%)</t>
  </si>
  <si>
    <t xml:space="preserve">Total Manufacturing</t>
  </si>
  <si>
    <t xml:space="preserve">OPERATING COSTS (5-Year)</t>
  </si>
  <si>
    <t xml:space="preserve">Personnel Costs (N$748,800/yr)</t>
  </si>
  <si>
    <t xml:space="preserve">Data Storage &amp; Transmission</t>
  </si>
  <si>
    <t xml:space="preserve">Service Vehicles Maintenance</t>
  </si>
  <si>
    <t xml:space="preserve">Field Equipment Maintenance</t>
  </si>
  <si>
    <t xml:space="preserve">Office Rental &amp; Utilities</t>
  </si>
  <si>
    <t xml:space="preserve">Software Licensing &amp; Tools</t>
  </si>
  <si>
    <t xml:space="preserve">Marketing &amp; Customer Acquisition</t>
  </si>
  <si>
    <t xml:space="preserve">Regulatory &amp; Compliance</t>
  </si>
  <si>
    <t xml:space="preserve">Insurance</t>
  </si>
  <si>
    <t xml:space="preserve">Total Operating Costs (5-Year)</t>
  </si>
  <si>
    <t xml:space="preserve">IMPLEMENTATION COSTS (One-Time)</t>
  </si>
  <si>
    <t xml:space="preserve">Project Management &amp; Planning</t>
  </si>
  <si>
    <t xml:space="preserve">Site Surveys &amp; Assessments</t>
  </si>
  <si>
    <t xml:space="preserve">Customer Onboarding &amp; Training</t>
  </si>
  <si>
    <t xml:space="preserve">Integration with Utility Systems</t>
  </si>
  <si>
    <t xml:space="preserve">Total Implementation</t>
  </si>
  <si>
    <t xml:space="preserve">EQUIPMENT INVESTMENT (One-Time)</t>
  </si>
  <si>
    <t xml:space="preserve">Service Vehicles</t>
  </si>
  <si>
    <t xml:space="preserve">Field Test Equipment Kits</t>
  </si>
  <si>
    <t xml:space="preserve">Workstations</t>
  </si>
  <si>
    <t xml:space="preserve">Network Monitoring Systems</t>
  </si>
  <si>
    <t xml:space="preserve">Office Equipment &amp; Furniture</t>
  </si>
  <si>
    <t xml:space="preserve">Server/Cloud Infrastructure</t>
  </si>
  <si>
    <t xml:space="preserve">Total Equipment</t>
  </si>
  <si>
    <t xml:space="preserve">DEVELOPMENT COSTS</t>
  </si>
  <si>
    <t xml:space="preserve">Electronics Manufacturing Development</t>
  </si>
  <si>
    <t xml:space="preserve">Software Engineering (R&amp;D)</t>
  </si>
  <si>
    <t xml:space="preserve">Mobile Application Development</t>
  </si>
  <si>
    <t xml:space="preserve">Hardware Firmware Development</t>
  </si>
  <si>
    <t xml:space="preserve">Enclosure Manufacturing &amp; Assembly</t>
  </si>
  <si>
    <t xml:space="preserve">Marketing (Branding, Collateral)</t>
  </si>
  <si>
    <t xml:space="preserve">Regulatory &amp; Legal (Certifications)</t>
  </si>
  <si>
    <t xml:space="preserve">Office &amp; Logistics Setup</t>
  </si>
  <si>
    <t xml:space="preserve">Development Contingency (5%)</t>
  </si>
  <si>
    <t xml:space="preserve">Total Development</t>
  </si>
  <si>
    <t xml:space="preserve">FINANCING COSTS</t>
  </si>
  <si>
    <t xml:space="preserve">Interest on Working Capital</t>
  </si>
  <si>
    <t xml:space="preserve">Bank Fees &amp; Transaction Costs</t>
  </si>
  <si>
    <t xml:space="preserve">Total Financing</t>
  </si>
  <si>
    <t xml:space="preserve">CONTINGENCY</t>
  </si>
  <si>
    <t xml:space="preserve">Operations Contingency (10%)</t>
  </si>
  <si>
    <t xml:space="preserve">Implementation Contingency (10%)</t>
  </si>
  <si>
    <t xml:space="preserve">Total Contingency</t>
  </si>
  <si>
    <t xml:space="preserve">TOTAL 5-YEAR COSTS</t>
  </si>
  <si>
    <t xml:space="preserve">5-Year Financial Model — Year-by-Year Projections</t>
  </si>
  <si>
    <t xml:space="preserve">Linked to scenario selected on Dashboard</t>
  </si>
  <si>
    <t xml:space="preserve">5-Year Total</t>
  </si>
  <si>
    <t xml:space="preserve">REVENUE</t>
  </si>
  <si>
    <t xml:space="preserve">Total Revenue</t>
  </si>
  <si>
    <t xml:space="preserve">COSTS</t>
  </si>
  <si>
    <t xml:space="preserve">Manufacturing Costs</t>
  </si>
  <si>
    <t xml:space="preserve">Operating Costs</t>
  </si>
  <si>
    <t xml:space="preserve">Implementation Costs</t>
  </si>
  <si>
    <t xml:space="preserve">Equipment Investment</t>
  </si>
  <si>
    <t xml:space="preserve">Development Costs</t>
  </si>
  <si>
    <t xml:space="preserve">Financing Costs</t>
  </si>
  <si>
    <t xml:space="preserve">Total Costs</t>
  </si>
  <si>
    <t xml:space="preserve">NET PROFIT</t>
  </si>
  <si>
    <t xml:space="preserve">Cumulative Revenue</t>
  </si>
  <si>
    <t xml:space="preserve">Cumulative Net Profit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</si>
</sst>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&quot;N$&quot;#,##0.0,,\M"/>
    <numFmt numFmtId="166" formatCode="0.0%"/>
    <numFmt numFmtId="167" formatCode="0.0&quot; months&quot;"/>
    <numFmt numFmtId="168" formatCode="&quot;N$ &quot;#,##0"/>
    <numFmt numFmtId="169" formatCode="0.0"/>
    <numFmt numFmtId="170" formatCode="0.0&quot; mo&quot;"/>
    <numFmt numFmtId="171" formatCode="&quot;N$&quot;#,##0"/>
    <numFmt numFmtId="172" formatCode="General"/>
    <numFmt numFmtId="173" formatCode="[$$-409]#,##0.00;[RED]\-[$$-409]#,##0.00"/>
    <numFmt numFmtId="174" formatCode="0"/>
    <numFmt numFmtId="175" formatCode="&quot;N$&quot;#,##0.00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9"/>
      <color rgb="FF546E7A"/>
      <name val="Calibri"/>
      <family val="0"/>
      <charset val="1"/>
    </font>
    <font>
      <b val="true"/>
      <sz val="10"/>
      <color rgb="FF37474F"/>
      <name val="Calibri"/>
      <family val="0"/>
      <charset val="1"/>
    </font>
    <font>
      <b val="true"/>
      <sz val="18"/>
      <color rgb="FF1B3A5C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sz val="9"/>
      <color rgb="FF90A4AE"/>
      <name val="Calibri"/>
      <family val="0"/>
      <charset val="1"/>
    </font>
    <font>
      <b val="true"/>
      <sz val="16"/>
      <color rgb="FF1B3A5C"/>
      <name val="Calibri"/>
      <family val="0"/>
      <charset val="1"/>
    </font>
    <font>
      <b val="true"/>
      <sz val="12"/>
      <color rgb="FF1B3A5C"/>
      <name val="Calibri"/>
      <family val="0"/>
      <charset val="1"/>
    </font>
    <font>
      <sz val="10"/>
      <color rgb="FF455A64"/>
      <name val="Calibri"/>
      <family val="0"/>
      <charset val="1"/>
    </font>
    <font>
      <b val="true"/>
      <sz val="11"/>
      <color rgb="FF1B3A5C"/>
      <name val="Calibri"/>
      <family val="0"/>
      <charset val="1"/>
    </font>
    <font>
      <b val="true"/>
      <sz val="28"/>
      <color rgb="FF1565C0"/>
      <name val="Calibri"/>
      <family val="0"/>
      <charset val="1"/>
    </font>
    <font>
      <b val="true"/>
      <sz val="12"/>
      <color rgb="FF455A64"/>
      <name val="Calibri"/>
      <family val="0"/>
      <charset val="1"/>
    </font>
    <font>
      <sz val="9"/>
      <color rgb="FF78909C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name val="Calibri"/>
      <family val="0"/>
      <charset val="1"/>
    </font>
    <font>
      <sz val="10"/>
      <name val="Calibri"/>
      <family val="0"/>
      <charset val="1"/>
    </font>
    <font>
      <sz val="7"/>
      <color rgb="FFBDBDBD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4"/>
      <color rgb="FF1B2A4A"/>
      <name val="Calibri"/>
      <family val="0"/>
      <charset val="1"/>
    </font>
    <font>
      <sz val="10"/>
      <color rgb="FF0000FF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2"/>
      <color rgb="FF1B2A4A"/>
      <name val="Calibri"/>
      <family val="0"/>
      <charset val="1"/>
    </font>
    <font>
      <i val="true"/>
      <sz val="10"/>
      <color rgb="FF666666"/>
      <name val="Calibri"/>
      <family val="0"/>
      <charset val="1"/>
    </font>
    <font>
      <sz val="10"/>
      <color rgb="FF008000"/>
      <name val="Calibri"/>
      <family val="0"/>
      <charset val="1"/>
    </font>
    <font>
      <sz val="10"/>
      <color rgb="FFC00000"/>
      <name val="Calibri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1B3A5C"/>
        <bgColor rgb="FF1B2A4A"/>
      </patternFill>
    </fill>
    <fill>
      <patternFill patternType="solid">
        <fgColor rgb="FFE8F5E9"/>
        <bgColor rgb="FFE3F2FD"/>
      </patternFill>
    </fill>
    <fill>
      <patternFill patternType="solid">
        <fgColor rgb="FFE3F2FD"/>
        <bgColor rgb="FFE8F5E9"/>
      </patternFill>
    </fill>
    <fill>
      <patternFill patternType="solid">
        <fgColor rgb="FFFFF3E0"/>
        <bgColor rgb="FFFFF2CC"/>
      </patternFill>
    </fill>
    <fill>
      <patternFill patternType="solid">
        <fgColor rgb="FFF3E5F5"/>
        <bgColor rgb="FFFCE4D6"/>
      </patternFill>
    </fill>
    <fill>
      <patternFill patternType="solid">
        <fgColor rgb="FFF2F6FA"/>
        <bgColor rgb="FFF5F5F5"/>
      </patternFill>
    </fill>
    <fill>
      <patternFill patternType="solid">
        <fgColor rgb="FF1565C0"/>
        <bgColor rgb="FF2E75B6"/>
      </patternFill>
    </fill>
    <fill>
      <patternFill patternType="solid">
        <fgColor rgb="FFFFFFFF"/>
        <bgColor rgb="FFF9F9F9"/>
      </patternFill>
    </fill>
    <fill>
      <patternFill patternType="solid">
        <fgColor rgb="FF2E7D32"/>
        <bgColor rgb="FF008000"/>
      </patternFill>
    </fill>
    <fill>
      <patternFill patternType="solid">
        <fgColor rgb="FFF9A825"/>
        <bgColor rgb="FFFF9800"/>
      </patternFill>
    </fill>
    <fill>
      <patternFill patternType="solid">
        <fgColor rgb="FF1B2A4A"/>
        <bgColor rgb="FF1B3A5C"/>
      </patternFill>
    </fill>
    <fill>
      <patternFill patternType="solid">
        <fgColor rgb="FFF5F5F5"/>
        <bgColor rgb="FFF2F6FA"/>
      </patternFill>
    </fill>
    <fill>
      <patternFill patternType="solid">
        <fgColor rgb="FFFFF2CC"/>
        <bgColor rgb="FFFFF3E0"/>
      </patternFill>
    </fill>
    <fill>
      <patternFill patternType="solid">
        <fgColor rgb="FFE2EFDA"/>
        <bgColor rgb="FFE8F5E9"/>
      </patternFill>
    </fill>
    <fill>
      <patternFill patternType="solid">
        <fgColor rgb="FFFCE4D6"/>
        <bgColor rgb="FFFFF2CC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medium">
        <color rgb="FFB0BEC5"/>
      </left>
      <right style="medium">
        <color rgb="FFB0BEC5"/>
      </right>
      <top style="medium">
        <color rgb="FFB0BEC5"/>
      </top>
      <bottom/>
      <diagonal/>
    </border>
    <border diagonalUp="false" diagonalDown="false"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 diagonalUp="false" diagonalDown="false">
      <left style="medium">
        <color rgb="FFB0BEC5"/>
      </left>
      <right/>
      <top/>
      <bottom/>
      <diagonal/>
    </border>
    <border diagonalUp="false" diagonalDown="false">
      <left/>
      <right style="medium">
        <color rgb="FFB0BEC5"/>
      </right>
      <top/>
      <bottom/>
      <diagonal/>
    </border>
    <border diagonalUp="false" diagonalDown="false">
      <left style="medium">
        <color rgb="FF0D47A1"/>
      </left>
      <right style="medium">
        <color rgb="FF0D47A1"/>
      </right>
      <top style="medium">
        <color rgb="FF0D47A1"/>
      </top>
      <bottom style="medium">
        <color rgb="FF0D47A1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/>
      <top style="thin">
        <color rgb="FFD9D9D9"/>
      </top>
      <bottom style="thin">
        <color rgb="FFD9D9D9"/>
      </bottom>
      <diagonal/>
    </border>
    <border diagonalUp="false" diagonalDown="false">
      <left/>
      <right/>
      <top style="medium">
        <color rgb="FF1B2A4A"/>
      </top>
      <bottom style="double">
        <color rgb="FF1B2A4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1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12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1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13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9" fillId="3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2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9" fillId="3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20" fillId="13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19" fillId="3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12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6" fillId="14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15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9" fillId="15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6" fillId="14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15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7" fillId="15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7" fillId="16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16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9" fillId="16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15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8" fillId="15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3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31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27" fillId="16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5F5F5"/>
      <rgbColor rgb="FFFF00FF"/>
      <rgbColor rgb="FFF2F6FA"/>
      <rgbColor rgb="FF800000"/>
      <rgbColor rgb="FF008000"/>
      <rgbColor rgb="FF000080"/>
      <rgbColor rgb="FF666666"/>
      <rgbColor rgb="FF800080"/>
      <rgbColor rgb="FF2E7D32"/>
      <rgbColor rgb="FFBDBDBD"/>
      <rgbColor rgb="FF878787"/>
      <rgbColor rgb="FF78909C"/>
      <rgbColor rgb="FF9C27B0"/>
      <rgbColor rgb="FFFFF2CC"/>
      <rgbColor rgb="FFE3F2FD"/>
      <rgbColor rgb="FF660066"/>
      <rgbColor rgb="FFF9A825"/>
      <rgbColor rgb="FF1565C0"/>
      <rgbColor rgb="FFD9D9D9"/>
      <rgbColor rgb="FF000080"/>
      <rgbColor rgb="FFFF00FF"/>
      <rgbColor rgb="FFF9F9F9"/>
      <rgbColor rgb="FF00FFFF"/>
      <rgbColor rgb="FF800080"/>
      <rgbColor rgb="FF800000"/>
      <rgbColor rgb="FF0D47A1"/>
      <rgbColor rgb="FF0000FF"/>
      <rgbColor rgb="FF00CCFF"/>
      <rgbColor rgb="FFE8F5E9"/>
      <rgbColor rgb="FFE2EFDA"/>
      <rgbColor rgb="FFFFF3E0"/>
      <rgbColor rgb="FFB0BEC5"/>
      <rgbColor rgb="FFF3E5F5"/>
      <rgbColor rgb="FFE0E0E0"/>
      <rgbColor rgb="FFFCE4D6"/>
      <rgbColor rgb="FF2E75B6"/>
      <rgbColor rgb="FF4F81BD"/>
      <rgbColor rgb="FF81C784"/>
      <rgbColor rgb="FFFFC107"/>
      <rgbColor rgb="FFFF9800"/>
      <rgbColor rgb="FFED7D31"/>
      <rgbColor rgb="FF546E7A"/>
      <rgbColor rgb="FF90A4AE"/>
      <rgbColor rgb="FF002060"/>
      <rgbColor rgb="FF4CAF50"/>
      <rgbColor rgb="FF455A64"/>
      <rgbColor rgb="FF37474F"/>
      <rgbColor rgb="FFF44336"/>
      <rgbColor rgb="FFE53935"/>
      <rgbColor rgb="FF1B3A5C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Annual Revenue &amp; Profit (N$ Millions)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"Revenue"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1b3a5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Dashboard!$D$70:$H$70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Dashboard!$D$71:$H$71</c:f>
              <c:numCache>
                <c:formatCode>General</c:formatCode>
                <c:ptCount val="5"/>
                <c:pt idx="0">
                  <c:v>73.208</c:v>
                </c:pt>
                <c:pt idx="1">
                  <c:v>66.208</c:v>
                </c:pt>
                <c:pt idx="2">
                  <c:v>66.208</c:v>
                </c:pt>
                <c:pt idx="3">
                  <c:v>66.208</c:v>
                </c:pt>
                <c:pt idx="4">
                  <c:v>66.208</c:v>
                </c:pt>
              </c:numCache>
            </c:numRef>
          </c:val>
        </c:ser>
        <c:ser>
          <c:idx val="1"/>
          <c:order val="1"/>
          <c:tx>
            <c:strRef>
              <c:f>"Costs"</c:f>
              <c:strCache>
                <c:ptCount val="1"/>
                <c:pt idx="0">
                  <c:v>Costs</c:v>
                </c:pt>
              </c:strCache>
            </c:strRef>
          </c:tx>
          <c:spPr>
            <a:solidFill>
              <a:srgbClr val="e53935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Dashboard!$D$70:$H$70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Dashboard!$D$72:$H$72</c:f>
              <c:numCache>
                <c:formatCode>[$$-409]#,##0.00;[RED]\-[$$-409]#,##0.00</c:formatCode>
                <c:ptCount val="5"/>
                <c:pt idx="0">
                  <c:v>32.331327</c:v>
                </c:pt>
                <c:pt idx="1">
                  <c:v>2.41568</c:v>
                </c:pt>
                <c:pt idx="2">
                  <c:v>2.41568</c:v>
                </c:pt>
                <c:pt idx="3">
                  <c:v>2.41568</c:v>
                </c:pt>
                <c:pt idx="4">
                  <c:v>2.41568</c:v>
                </c:pt>
              </c:numCache>
            </c:numRef>
          </c:val>
        </c:ser>
        <c:ser>
          <c:idx val="2"/>
          <c:order val="2"/>
          <c:tx>
            <c:strRef>
              <c:f>"Net Profit"</c:f>
              <c:strCache>
                <c:ptCount val="1"/>
                <c:pt idx="0">
                  <c:v>Net Profit</c:v>
                </c:pt>
              </c:strCache>
            </c:strRef>
          </c:tx>
          <c:spPr>
            <a:solidFill>
              <a:srgbClr val="4caf5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Dashboard!$D$70:$H$70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Dashboard!$D$73:$H$73</c:f>
              <c:numCache>
                <c:formatCode>[$$-409]#,##0.00;[RED]\-[$$-409]#,##0.00</c:formatCode>
                <c:ptCount val="5"/>
                <c:pt idx="0">
                  <c:v>40.876673</c:v>
                </c:pt>
                <c:pt idx="1">
                  <c:v>63.79232</c:v>
                </c:pt>
                <c:pt idx="2">
                  <c:v>63.79232</c:v>
                </c:pt>
                <c:pt idx="3">
                  <c:v>63.79232</c:v>
                </c:pt>
                <c:pt idx="4">
                  <c:v>63.79232</c:v>
                </c:pt>
              </c:numCache>
            </c:numRef>
          </c:val>
        </c:ser>
        <c:gapWidth val="150"/>
        <c:overlap val="0"/>
        <c:axId val="39888345"/>
        <c:axId val="91170432"/>
      </c:barChart>
      <c:lineChart>
        <c:grouping val="standard"/>
        <c:varyColors val="0"/>
        <c:ser>
          <c:idx val="3"/>
          <c:order val="3"/>
          <c:tx>
            <c:strRef>
              <c:f>"Revenue Trend"</c:f>
              <c:strCache>
                <c:ptCount val="1"/>
                <c:pt idx="0">
                  <c:v>Revenue Trend</c:v>
                </c:pt>
              </c:strCache>
            </c:strRef>
          </c:tx>
          <c:spPr>
            <a:solidFill>
              <a:srgbClr val="ff9800"/>
            </a:solidFill>
            <a:ln w="24840">
              <a:solidFill>
                <a:srgbClr val="ff98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Dashboard!$D$70:$H$70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Dashboard!$D$71:$H$71</c:f>
              <c:numCache>
                <c:formatCode>General</c:formatCode>
                <c:ptCount val="5"/>
                <c:pt idx="0">
                  <c:v>73.208</c:v>
                </c:pt>
                <c:pt idx="1">
                  <c:v>66.208</c:v>
                </c:pt>
                <c:pt idx="2">
                  <c:v>66.208</c:v>
                </c:pt>
                <c:pt idx="3">
                  <c:v>66.208</c:v>
                </c:pt>
                <c:pt idx="4">
                  <c:v>66.208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97710391"/>
        <c:axId val="33483630"/>
      </c:lineChart>
      <c:catAx>
        <c:axId val="3988834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170432"/>
        <c:crosses val="autoZero"/>
        <c:auto val="1"/>
        <c:lblAlgn val="ctr"/>
        <c:lblOffset val="100"/>
        <c:noMultiLvlLbl val="0"/>
      </c:catAx>
      <c:valAx>
        <c:axId val="911704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N$ Millions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888345"/>
        <c:crosses val="autoZero"/>
        <c:crossBetween val="between"/>
      </c:valAx>
      <c:catAx>
        <c:axId val="97710391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3483630"/>
        <c:crosses val="autoZero"/>
        <c:auto val="1"/>
        <c:lblAlgn val="ctr"/>
        <c:lblOffset val="100"/>
        <c:noMultiLvlLbl val="0"/>
      </c:catAx>
      <c:valAx>
        <c:axId val="33483630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71039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5-Year Cost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1b3a5c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ff980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4caf5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9c27b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spPr>
              <a:solidFill>
                <a:srgbClr val="2e75b6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5"/>
            <c:spPr>
              <a:solidFill>
                <a:srgbClr val="f44336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6"/>
            <c:spPr>
              <a:solidFill>
                <a:srgbClr val="ffc107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Dashboard!$D$77:$J$77</c:f>
              <c:strCache>
                <c:ptCount val="7"/>
                <c:pt idx="0">
                  <c:v>Manufacturing</c:v>
                </c:pt>
                <c:pt idx="1">
                  <c:v>Operating</c:v>
                </c:pt>
                <c:pt idx="2">
                  <c:v>Implementation</c:v>
                </c:pt>
                <c:pt idx="3">
                  <c:v>Equipment</c:v>
                </c:pt>
                <c:pt idx="4">
                  <c:v>Development</c:v>
                </c:pt>
                <c:pt idx="5">
                  <c:v>Financing</c:v>
                </c:pt>
                <c:pt idx="6">
                  <c:v>Contingency</c:v>
                </c:pt>
              </c:strCache>
            </c:strRef>
          </c:cat>
          <c:val>
            <c:numRef>
              <c:f>Dashboard!$D$78:$J$78</c:f>
              <c:numCache>
                <c:formatCode>"N$"#,##0</c:formatCode>
                <c:ptCount val="7"/>
                <c:pt idx="0">
                  <c:v>17899000</c:v>
                </c:pt>
                <c:pt idx="1">
                  <c:v>10844000</c:v>
                </c:pt>
                <c:pt idx="2">
                  <c:v>1500000</c:v>
                </c:pt>
                <c:pt idx="3">
                  <c:v>1965000</c:v>
                </c:pt>
                <c:pt idx="4">
                  <c:v>7851647</c:v>
                </c:pt>
                <c:pt idx="5">
                  <c:v>700000</c:v>
                </c:pt>
                <c:pt idx="6">
                  <c:v>1234400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Cumulative Cash Flow (N$ Millions)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"Cumulative Revenue"</c:f>
              <c:strCache>
                <c:ptCount val="1"/>
                <c:pt idx="0">
                  <c:v>Cumulative Revenue</c:v>
                </c:pt>
              </c:strCache>
            </c:strRef>
          </c:tx>
          <c:spPr>
            <a:solidFill>
              <a:srgbClr val="2e7d32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Dashboard!$D$70:$H$70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Dashboard!$D$74:$H$74</c:f>
              <c:numCache>
                <c:formatCode>General</c:formatCode>
                <c:ptCount val="5"/>
                <c:pt idx="0">
                  <c:v>73.208</c:v>
                </c:pt>
                <c:pt idx="1">
                  <c:v>139.416</c:v>
                </c:pt>
                <c:pt idx="2">
                  <c:v>205.624</c:v>
                </c:pt>
                <c:pt idx="3">
                  <c:v>271.832</c:v>
                </c:pt>
                <c:pt idx="4">
                  <c:v>338.04</c:v>
                </c:pt>
              </c:numCache>
            </c:numRef>
          </c:val>
        </c:ser>
        <c:ser>
          <c:idx val="1"/>
          <c:order val="1"/>
          <c:tx>
            <c:strRef>
              <c:f>"Cumulative Profit"</c:f>
              <c:strCache>
                <c:ptCount val="1"/>
                <c:pt idx="0">
                  <c:v>Cumulative Profit</c:v>
                </c:pt>
              </c:strCache>
            </c:strRef>
          </c:tx>
          <c:spPr>
            <a:solidFill>
              <a:srgbClr val="81c78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Dashboard!$D$70:$H$70</c:f>
              <c:multiLvlStrCache>
                <c:ptCount val="1"/>
                <c:lvl>
                  <c:pt idx="0">
                    <c:v>Year 5</c:v>
                  </c:pt>
                </c:lvl>
                <c:lvl>
                  <c:pt idx="0">
                    <c:v>Year 4</c:v>
                  </c:pt>
                </c:lvl>
                <c:lvl>
                  <c:pt idx="0">
                    <c:v>Year 3</c:v>
                  </c:pt>
                </c:lvl>
                <c:lvl>
                  <c:pt idx="0">
                    <c:v>Year 2</c:v>
                  </c:pt>
                </c:lvl>
                <c:lvl>
                  <c:pt idx="0">
                    <c:v>Year 1</c:v>
                  </c:pt>
                </c:lvl>
              </c:multiLvlStrCache>
            </c:multiLvlStrRef>
          </c:cat>
          <c:val>
            <c:numRef>
              <c:f>Dashboard!$D$75:$H$75</c:f>
              <c:numCache>
                <c:formatCode>[$$-409]#,##0.00;[RED]\-[$$-409]#,##0.00</c:formatCode>
                <c:ptCount val="5"/>
                <c:pt idx="0">
                  <c:v>40.876673</c:v>
                </c:pt>
                <c:pt idx="1">
                  <c:v>104.668993</c:v>
                </c:pt>
                <c:pt idx="2">
                  <c:v>168.461313</c:v>
                </c:pt>
                <c:pt idx="3">
                  <c:v>232.253633</c:v>
                </c:pt>
                <c:pt idx="4">
                  <c:v>296.045953</c:v>
                </c:pt>
              </c:numCache>
            </c:numRef>
          </c:val>
        </c:ser>
        <c:gapWidth val="150"/>
        <c:overlap val="0"/>
        <c:axId val="40167076"/>
        <c:axId val="39868645"/>
      </c:barChart>
      <c:catAx>
        <c:axId val="401670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868645"/>
        <c:crosses val="autoZero"/>
        <c:auto val="1"/>
        <c:lblAlgn val="ctr"/>
        <c:lblOffset val="100"/>
        <c:noMultiLvlLbl val="0"/>
      </c:catAx>
      <c:valAx>
        <c:axId val="398686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N$ Millions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16707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7</xdr:row>
      <xdr:rowOff>0</xdr:rowOff>
    </xdr:from>
    <xdr:to>
      <xdr:col>12</xdr:col>
      <xdr:colOff>430200</xdr:colOff>
      <xdr:row>25</xdr:row>
      <xdr:rowOff>107640</xdr:rowOff>
    </xdr:to>
    <xdr:graphicFrame>
      <xdr:nvGraphicFramePr>
        <xdr:cNvPr id="0" name="Chart 1"/>
        <xdr:cNvGraphicFramePr/>
      </xdr:nvGraphicFramePr>
      <xdr:xfrm>
        <a:off x="3200400" y="1714680"/>
        <a:ext cx="611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7</xdr:row>
      <xdr:rowOff>0</xdr:rowOff>
    </xdr:from>
    <xdr:to>
      <xdr:col>17</xdr:col>
      <xdr:colOff>639000</xdr:colOff>
      <xdr:row>25</xdr:row>
      <xdr:rowOff>107640</xdr:rowOff>
    </xdr:to>
    <xdr:graphicFrame>
      <xdr:nvGraphicFramePr>
        <xdr:cNvPr id="1" name="Chart 2"/>
        <xdr:cNvGraphicFramePr/>
      </xdr:nvGraphicFramePr>
      <xdr:xfrm>
        <a:off x="7467480" y="1714680"/>
        <a:ext cx="503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0</xdr:colOff>
      <xdr:row>21</xdr:row>
      <xdr:rowOff>0</xdr:rowOff>
    </xdr:from>
    <xdr:to>
      <xdr:col>12</xdr:col>
      <xdr:colOff>430200</xdr:colOff>
      <xdr:row>38</xdr:row>
      <xdr:rowOff>14400</xdr:rowOff>
    </xdr:to>
    <xdr:graphicFrame>
      <xdr:nvGraphicFramePr>
        <xdr:cNvPr id="2" name="Chart 3"/>
        <xdr:cNvGraphicFramePr/>
      </xdr:nvGraphicFramePr>
      <xdr:xfrm>
        <a:off x="3200400" y="5295960"/>
        <a:ext cx="61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2060"/>
    <pageSetUpPr fitToPage="false"/>
  </sheetPr>
  <dimension ref="B1:P7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.5"/>
    <col collapsed="false" customWidth="true" hidden="false" outlineLevel="0" max="2" min="2" style="0" width="18"/>
    <col collapsed="false" customWidth="true" hidden="false" outlineLevel="0" max="3" min="3" style="0" width="15"/>
    <col collapsed="false" customWidth="true" hidden="false" outlineLevel="0" max="4" min="4" style="0" width="1.5"/>
    <col collapsed="false" customWidth="true" hidden="false" outlineLevel="0" max="16" min="5" style="0" width="8"/>
    <col collapsed="false" customWidth="true" hidden="false" outlineLevel="0" max="17" min="17" style="0" width="1.5"/>
  </cols>
  <sheetData>
    <row r="1" customFormat="false" ht="3.75" hidden="false" customHeight="true" outlineLevel="0" collapsed="false"/>
    <row r="2" customFormat="false" ht="36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customFormat="false" ht="3.75" hidden="false" customHeight="true" outlineLevel="0" collapsed="false"/>
    <row r="4" customFormat="false" ht="18" hidden="false" customHeight="true" outlineLevel="0" collapsed="false">
      <c r="B4" s="2" t="s">
        <v>1</v>
      </c>
      <c r="C4" s="2"/>
      <c r="E4" s="3" t="s">
        <v>2</v>
      </c>
      <c r="F4" s="3"/>
      <c r="G4" s="3"/>
      <c r="H4" s="4" t="s">
        <v>3</v>
      </c>
      <c r="I4" s="4"/>
      <c r="J4" s="4"/>
      <c r="K4" s="5" t="s">
        <v>4</v>
      </c>
      <c r="L4" s="5"/>
      <c r="M4" s="5"/>
      <c r="N4" s="6" t="s">
        <v>5</v>
      </c>
      <c r="O4" s="6"/>
      <c r="P4" s="6"/>
    </row>
    <row r="5" customFormat="false" ht="30" hidden="false" customHeight="true" outlineLevel="0" collapsed="false">
      <c r="B5" s="7" t="s">
        <v>6</v>
      </c>
      <c r="C5" s="8"/>
      <c r="E5" s="9" t="n">
        <f aca="false">INDEX($C$63:$G$63,1,$C$51)</f>
        <v>338040000</v>
      </c>
      <c r="F5" s="9"/>
      <c r="G5" s="9"/>
      <c r="H5" s="10" t="n">
        <f aca="false">INDEX($C$62:$G$62,1,$C$51)</f>
        <v>296045953</v>
      </c>
      <c r="I5" s="10"/>
      <c r="J5" s="10"/>
      <c r="K5" s="11" t="n">
        <f aca="false">INDEX($C$64:$G$64,1,$C$51)</f>
        <v>0.87577195893977</v>
      </c>
      <c r="L5" s="11"/>
      <c r="M5" s="11"/>
      <c r="N5" s="12" t="n">
        <f aca="false">INDEX($C$65:$G$65,1,$C$51)</f>
        <v>4.2</v>
      </c>
      <c r="O5" s="12"/>
      <c r="P5" s="12"/>
    </row>
    <row r="6" customFormat="false" ht="25.5" hidden="false" customHeight="true" outlineLevel="0" collapsed="false">
      <c r="B6" s="13" t="s">
        <v>7</v>
      </c>
      <c r="C6" s="13"/>
      <c r="E6" s="14"/>
      <c r="F6" s="14"/>
      <c r="G6" s="14"/>
      <c r="H6" s="15"/>
      <c r="I6" s="15"/>
      <c r="J6" s="15"/>
      <c r="K6" s="16"/>
      <c r="L6" s="16"/>
      <c r="M6" s="16"/>
      <c r="N6" s="17"/>
      <c r="O6" s="17"/>
      <c r="P6" s="17"/>
    </row>
    <row r="7" customFormat="false" ht="18" hidden="false" customHeight="true" outlineLevel="0" collapsed="false">
      <c r="B7" s="18"/>
      <c r="C7" s="8"/>
    </row>
    <row r="8" customFormat="false" ht="18" hidden="false" customHeight="true" outlineLevel="0" collapsed="false">
      <c r="B8" s="7" t="s">
        <v>8</v>
      </c>
      <c r="C8" s="19" t="s">
        <v>9</v>
      </c>
    </row>
    <row r="9" customFormat="false" ht="24" hidden="false" customHeight="true" outlineLevel="0" collapsed="false">
      <c r="B9" s="20" t="n">
        <v>5500</v>
      </c>
      <c r="C9" s="20"/>
    </row>
    <row r="10" customFormat="false" ht="18" hidden="false" customHeight="true" outlineLevel="0" collapsed="false">
      <c r="B10" s="18"/>
      <c r="C10" s="8"/>
    </row>
    <row r="11" customFormat="false" ht="18" hidden="false" customHeight="true" outlineLevel="0" collapsed="false">
      <c r="B11" s="7" t="s">
        <v>10</v>
      </c>
      <c r="C11" s="19" t="s">
        <v>11</v>
      </c>
    </row>
    <row r="12" customFormat="false" ht="24" hidden="false" customHeight="true" outlineLevel="0" collapsed="false">
      <c r="B12" s="20" t="n">
        <v>700</v>
      </c>
      <c r="C12" s="20"/>
    </row>
    <row r="13" customFormat="false" ht="18" hidden="false" customHeight="true" outlineLevel="0" collapsed="false">
      <c r="B13" s="18"/>
      <c r="C13" s="8"/>
    </row>
    <row r="14" customFormat="false" ht="18" hidden="false" customHeight="true" outlineLevel="0" collapsed="false">
      <c r="B14" s="7" t="s">
        <v>12</v>
      </c>
      <c r="C14" s="19" t="s">
        <v>13</v>
      </c>
    </row>
    <row r="15" customFormat="false" ht="24" hidden="false" customHeight="true" outlineLevel="0" collapsed="false">
      <c r="B15" s="20" t="n">
        <f aca="false">INDEX($C$53:$G$53,1,$C$51)</f>
        <v>1700</v>
      </c>
      <c r="C15" s="20"/>
    </row>
    <row r="16" customFormat="false" ht="18" hidden="false" customHeight="true" outlineLevel="0" collapsed="false">
      <c r="B16" s="18"/>
      <c r="C16" s="8"/>
    </row>
    <row r="17" customFormat="false" ht="18" hidden="false" customHeight="true" outlineLevel="0" collapsed="false">
      <c r="B17" s="7" t="s">
        <v>14</v>
      </c>
      <c r="C17" s="19" t="s">
        <v>15</v>
      </c>
    </row>
    <row r="18" customFormat="false" ht="24" hidden="false" customHeight="true" outlineLevel="0" collapsed="false">
      <c r="B18" s="20" t="n">
        <f aca="false">748800</f>
        <v>748800</v>
      </c>
      <c r="C18" s="20"/>
    </row>
    <row r="19" customFormat="false" ht="18" hidden="false" customHeight="true" outlineLevel="0" collapsed="false">
      <c r="B19" s="18"/>
      <c r="C19" s="8"/>
    </row>
    <row r="20" customFormat="false" ht="18" hidden="false" customHeight="true" outlineLevel="0" collapsed="false">
      <c r="B20" s="7" t="s">
        <v>16</v>
      </c>
      <c r="C20" s="19" t="s">
        <v>15</v>
      </c>
    </row>
    <row r="21" customFormat="false" ht="24" hidden="false" customHeight="true" outlineLevel="0" collapsed="false">
      <c r="B21" s="20" t="n">
        <f aca="false">INDEX($C$52:$G$52,1,$C$51)*6620.8</f>
        <v>66208000</v>
      </c>
      <c r="C21" s="20"/>
    </row>
    <row r="22" customFormat="false" ht="18" hidden="false" customHeight="true" outlineLevel="0" collapsed="false">
      <c r="B22" s="18"/>
      <c r="C22" s="8"/>
      <c r="K22" s="21" t="s">
        <v>17</v>
      </c>
      <c r="L22" s="21"/>
      <c r="M22" s="21"/>
      <c r="N22" s="21"/>
      <c r="O22" s="21"/>
      <c r="P22" s="21"/>
    </row>
    <row r="23" customFormat="false" ht="18" hidden="false" customHeight="true" outlineLevel="0" collapsed="false">
      <c r="B23" s="7" t="s">
        <v>18</v>
      </c>
      <c r="C23" s="19" t="s">
        <v>19</v>
      </c>
      <c r="K23" s="22"/>
      <c r="L23" s="23" t="s">
        <v>4</v>
      </c>
      <c r="M23" s="23"/>
      <c r="N23" s="24" t="n">
        <f aca="false">INDEX($C$64:$G$64,1,$C$51)</f>
        <v>0.87577195893977</v>
      </c>
      <c r="O23" s="24"/>
      <c r="P23" s="24"/>
    </row>
    <row r="24" customFormat="false" ht="24" hidden="false" customHeight="true" outlineLevel="0" collapsed="false">
      <c r="B24" s="20" t="n">
        <f aca="false">INDEX($C$61:$G$61,1,$C$51)</f>
        <v>41994047</v>
      </c>
      <c r="C24" s="20"/>
      <c r="K24" s="25"/>
      <c r="L24" s="23" t="s">
        <v>20</v>
      </c>
      <c r="M24" s="23"/>
      <c r="N24" s="24" t="n">
        <f aca="false">IF(INDEX($C$63:$G$63,1,$C$51)&gt;0,(INDEX($C$63:$G$63,1,$C$51)-INDEX($C$61:$G$61,1,$C$51))/INDEX($C$63:$G$63,1,$C$51),0)</f>
        <v>0.87577195893977</v>
      </c>
      <c r="O24" s="24"/>
      <c r="P24" s="24"/>
    </row>
    <row r="25" customFormat="false" ht="18" hidden="false" customHeight="true" outlineLevel="0" collapsed="false">
      <c r="B25" s="18"/>
      <c r="C25" s="8"/>
      <c r="K25" s="26"/>
      <c r="L25" s="23" t="s">
        <v>21</v>
      </c>
      <c r="M25" s="23"/>
      <c r="N25" s="24" t="n">
        <f aca="false">INDEX($C$64:$G$64,1,$C$51)</f>
        <v>0.87577195893977</v>
      </c>
      <c r="O25" s="24"/>
      <c r="P25" s="24"/>
    </row>
    <row r="26" customFormat="false" ht="18" hidden="false" customHeight="true" outlineLevel="0" collapsed="false">
      <c r="B26" s="7" t="s">
        <v>22</v>
      </c>
      <c r="C26" s="19" t="s">
        <v>19</v>
      </c>
    </row>
    <row r="27" customFormat="false" ht="24" hidden="false" customHeight="true" outlineLevel="0" collapsed="false">
      <c r="B27" s="20" t="n">
        <f aca="false">INDEX($C$62:$G$62,1,$C$51)</f>
        <v>296045953</v>
      </c>
      <c r="C27" s="20"/>
      <c r="K27" s="21" t="s">
        <v>5</v>
      </c>
      <c r="L27" s="21"/>
      <c r="M27" s="21"/>
      <c r="N27" s="21"/>
      <c r="O27" s="21"/>
      <c r="P27" s="21"/>
    </row>
    <row r="28" customFormat="false" ht="27.75" hidden="false" customHeight="true" outlineLevel="0" collapsed="false">
      <c r="K28" s="27" t="n">
        <f aca="false">INDEX($C$65:$G$65,1,$C$51)</f>
        <v>4.2</v>
      </c>
      <c r="L28" s="27"/>
      <c r="M28" s="27"/>
      <c r="N28" s="27"/>
      <c r="O28" s="27"/>
      <c r="P28" s="27"/>
    </row>
    <row r="29" customFormat="false" ht="19.5" hidden="false" customHeight="true" outlineLevel="0" collapsed="false">
      <c r="K29" s="27"/>
      <c r="L29" s="27"/>
      <c r="M29" s="27"/>
      <c r="N29" s="27"/>
      <c r="O29" s="27"/>
      <c r="P29" s="27"/>
    </row>
    <row r="30" customFormat="false" ht="18" hidden="false" customHeight="true" outlineLevel="0" collapsed="false">
      <c r="K30" s="28" t="s">
        <v>23</v>
      </c>
      <c r="L30" s="28"/>
      <c r="M30" s="28"/>
      <c r="N30" s="28"/>
      <c r="O30" s="28"/>
      <c r="P30" s="28"/>
    </row>
    <row r="31" customFormat="false" ht="18" hidden="false" customHeight="true" outlineLevel="0" collapsed="false">
      <c r="K31" s="29" t="s">
        <v>5</v>
      </c>
      <c r="L31" s="29"/>
      <c r="M31" s="29"/>
      <c r="N31" s="29"/>
      <c r="O31" s="29"/>
      <c r="P31" s="29"/>
    </row>
    <row r="32" customFormat="false" ht="18" hidden="false" customHeight="true" outlineLevel="0" collapsed="false"/>
    <row r="33" customFormat="false" ht="18" hidden="false" customHeight="true" outlineLevel="0" collapsed="false"/>
    <row r="34" customFormat="false" ht="18" hidden="false" customHeight="true" outlineLevel="0" collapsed="false"/>
    <row r="35" customFormat="false" ht="18" hidden="false" customHeight="true" outlineLevel="0" collapsed="false"/>
    <row r="36" customFormat="false" ht="27.75" hidden="false" customHeight="true" outlineLevel="0" collapsed="false">
      <c r="B36" s="30" t="s">
        <v>24</v>
      </c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</row>
    <row r="37" customFormat="false" ht="18" hidden="false" customHeight="true" outlineLevel="0" collapsed="false">
      <c r="B37" s="31" t="s">
        <v>25</v>
      </c>
      <c r="E37" s="32" t="s">
        <v>26</v>
      </c>
      <c r="F37" s="32"/>
      <c r="G37" s="32" t="s">
        <v>27</v>
      </c>
      <c r="H37" s="32"/>
      <c r="I37" s="32" t="s">
        <v>28</v>
      </c>
      <c r="J37" s="32"/>
      <c r="K37" s="32" t="s">
        <v>29</v>
      </c>
      <c r="L37" s="32"/>
      <c r="M37" s="32" t="s">
        <v>30</v>
      </c>
      <c r="N37" s="32"/>
    </row>
    <row r="38" customFormat="false" ht="18" hidden="false" customHeight="true" outlineLevel="0" collapsed="false">
      <c r="B38" s="33" t="s">
        <v>2</v>
      </c>
      <c r="E38" s="34" t="n">
        <f aca="false">C63</f>
        <v>101412000</v>
      </c>
      <c r="F38" s="34"/>
      <c r="G38" s="34" t="n">
        <f aca="false">D63</f>
        <v>169020000</v>
      </c>
      <c r="H38" s="34"/>
      <c r="I38" s="35" t="n">
        <f aca="false">E63</f>
        <v>338040000</v>
      </c>
      <c r="J38" s="35"/>
      <c r="K38" s="34" t="n">
        <f aca="false">F63</f>
        <v>676080000</v>
      </c>
      <c r="L38" s="34"/>
      <c r="M38" s="34" t="n">
        <f aca="false">G63</f>
        <v>1690200000</v>
      </c>
      <c r="N38" s="34"/>
    </row>
    <row r="39" customFormat="false" ht="18" hidden="false" customHeight="true" outlineLevel="0" collapsed="false">
      <c r="B39" s="36" t="s">
        <v>31</v>
      </c>
      <c r="E39" s="37" t="n">
        <f aca="false">C61</f>
        <v>27375747</v>
      </c>
      <c r="F39" s="37"/>
      <c r="G39" s="37" t="n">
        <f aca="false">D61</f>
        <v>32329547</v>
      </c>
      <c r="H39" s="37"/>
      <c r="I39" s="35" t="n">
        <f aca="false">E61</f>
        <v>41994047</v>
      </c>
      <c r="J39" s="35"/>
      <c r="K39" s="37" t="n">
        <f aca="false">F61</f>
        <v>64218047</v>
      </c>
      <c r="L39" s="37"/>
      <c r="M39" s="37" t="n">
        <f aca="false">G61</f>
        <v>118425047</v>
      </c>
      <c r="N39" s="37"/>
    </row>
    <row r="40" customFormat="false" ht="18" hidden="false" customHeight="true" outlineLevel="0" collapsed="false">
      <c r="B40" s="33" t="s">
        <v>3</v>
      </c>
      <c r="E40" s="34" t="n">
        <f aca="false">C62</f>
        <v>74036253</v>
      </c>
      <c r="F40" s="34"/>
      <c r="G40" s="34" t="n">
        <f aca="false">D62</f>
        <v>136690453</v>
      </c>
      <c r="H40" s="34"/>
      <c r="I40" s="35" t="n">
        <f aca="false">E62</f>
        <v>296045953</v>
      </c>
      <c r="J40" s="35"/>
      <c r="K40" s="34" t="n">
        <f aca="false">F62</f>
        <v>611861953</v>
      </c>
      <c r="L40" s="34"/>
      <c r="M40" s="34" t="n">
        <f aca="false">G62</f>
        <v>1571774953</v>
      </c>
      <c r="N40" s="34"/>
    </row>
    <row r="41" customFormat="false" ht="18" hidden="false" customHeight="true" outlineLevel="0" collapsed="false">
      <c r="B41" s="36" t="s">
        <v>4</v>
      </c>
      <c r="E41" s="38" t="n">
        <f aca="false">C64</f>
        <v>0.730054165187552</v>
      </c>
      <c r="F41" s="38"/>
      <c r="G41" s="38" t="n">
        <f aca="false">D64</f>
        <v>0.808723541592711</v>
      </c>
      <c r="H41" s="38"/>
      <c r="I41" s="39" t="n">
        <f aca="false">E64</f>
        <v>0.87577195893977</v>
      </c>
      <c r="J41" s="39"/>
      <c r="K41" s="38" t="n">
        <f aca="false">F64</f>
        <v>0.905014129984617</v>
      </c>
      <c r="L41" s="38"/>
      <c r="M41" s="38" t="n">
        <f aca="false">G64</f>
        <v>0.929934299491184</v>
      </c>
      <c r="N41" s="38"/>
    </row>
    <row r="42" customFormat="false" ht="18" hidden="false" customHeight="true" outlineLevel="0" collapsed="false">
      <c r="B42" s="33" t="s">
        <v>5</v>
      </c>
      <c r="E42" s="40" t="n">
        <f aca="false">C65</f>
        <v>7.6</v>
      </c>
      <c r="F42" s="40"/>
      <c r="G42" s="40" t="n">
        <f aca="false">D65</f>
        <v>7.2</v>
      </c>
      <c r="H42" s="40"/>
      <c r="I42" s="41" t="n">
        <f aca="false">E65</f>
        <v>4.2</v>
      </c>
      <c r="J42" s="41"/>
      <c r="K42" s="40" t="n">
        <f aca="false">F65</f>
        <v>3.9</v>
      </c>
      <c r="L42" s="40"/>
      <c r="M42" s="40" t="n">
        <f aca="false">G65</f>
        <v>3.5</v>
      </c>
      <c r="N42" s="40"/>
    </row>
    <row r="43" customFormat="false" ht="18" hidden="false" customHeight="true" outlineLevel="0" collapsed="false">
      <c r="B43" s="36" t="s">
        <v>32</v>
      </c>
      <c r="E43" s="37" t="n">
        <f aca="false">C66</f>
        <v>65500000</v>
      </c>
      <c r="F43" s="37"/>
      <c r="G43" s="37" t="n">
        <f aca="false">D66</f>
        <v>119300000</v>
      </c>
      <c r="H43" s="37"/>
      <c r="I43" s="35" t="n">
        <f aca="false">E66</f>
        <v>259647182</v>
      </c>
      <c r="J43" s="35"/>
      <c r="K43" s="37" t="n">
        <f aca="false">F66</f>
        <v>538200000</v>
      </c>
      <c r="L43" s="37"/>
      <c r="M43" s="37" t="n">
        <f aca="false">G66</f>
        <v>1390000000</v>
      </c>
      <c r="N43" s="37"/>
    </row>
    <row r="44" customFormat="false" ht="18" hidden="false" customHeight="true" outlineLevel="0" collapsed="false"/>
    <row r="45" customFormat="false" ht="18" hidden="false" customHeight="true" outlineLevel="0" collapsed="false"/>
    <row r="46" customFormat="false" ht="18" hidden="false" customHeight="true" outlineLevel="0" collapsed="false"/>
    <row r="47" customFormat="false" ht="18" hidden="false" customHeight="true" outlineLevel="0" collapsed="false"/>
    <row r="48" customFormat="false" ht="18" hidden="false" customHeight="true" outlineLevel="0" collapsed="false"/>
    <row r="49" customFormat="false" ht="18" hidden="false" customHeight="true" outlineLevel="0" collapsed="false">
      <c r="B49" s="42" t="s">
        <v>33</v>
      </c>
    </row>
    <row r="50" customFormat="false" ht="15" hidden="false" customHeight="false" outlineLevel="0" collapsed="false">
      <c r="C50" s="42" t="s">
        <v>34</v>
      </c>
      <c r="D50" s="42" t="s">
        <v>35</v>
      </c>
      <c r="E50" s="42" t="s">
        <v>7</v>
      </c>
      <c r="F50" s="42" t="s">
        <v>36</v>
      </c>
      <c r="G50" s="42" t="s">
        <v>37</v>
      </c>
    </row>
    <row r="51" customFormat="false" ht="15" hidden="false" customHeight="false" outlineLevel="0" collapsed="false">
      <c r="B51" s="42" t="s">
        <v>38</v>
      </c>
      <c r="C51" s="42" t="n">
        <f aca="false">MATCH($B$6,$C$50:$G$50,0)</f>
        <v>3</v>
      </c>
    </row>
    <row r="52" customFormat="false" ht="15" hidden="false" customHeight="false" outlineLevel="0" collapsed="false">
      <c r="C52" s="42" t="n">
        <v>3000</v>
      </c>
      <c r="D52" s="42" t="n">
        <v>5000</v>
      </c>
      <c r="E52" s="42" t="n">
        <v>10000</v>
      </c>
      <c r="F52" s="42" t="n">
        <v>20000</v>
      </c>
      <c r="G52" s="42" t="n">
        <v>50000</v>
      </c>
    </row>
    <row r="53" customFormat="false" ht="15" hidden="false" customHeight="false" outlineLevel="0" collapsed="false">
      <c r="C53" s="42" t="n">
        <v>2000</v>
      </c>
      <c r="D53" s="42" t="n">
        <v>2000</v>
      </c>
      <c r="E53" s="42" t="n">
        <v>1700</v>
      </c>
      <c r="F53" s="42" t="n">
        <v>1700</v>
      </c>
      <c r="G53" s="42" t="n">
        <v>1462</v>
      </c>
    </row>
    <row r="54" customFormat="false" ht="15" hidden="false" customHeight="false" outlineLevel="0" collapsed="false">
      <c r="C54" s="43" t="n">
        <f aca="false">'Cost Detail'!B7</f>
        <v>6269700</v>
      </c>
      <c r="D54" s="43" t="n">
        <f aca="false">'Cost Detail'!C7</f>
        <v>10449500</v>
      </c>
      <c r="E54" s="43" t="n">
        <f aca="false">'Cost Detail'!D7</f>
        <v>17899000</v>
      </c>
      <c r="F54" s="43" t="n">
        <f aca="false">'Cost Detail'!E7</f>
        <v>35798000</v>
      </c>
      <c r="G54" s="43" t="n">
        <f aca="false">'Cost Detail'!F7</f>
        <v>77595000</v>
      </c>
    </row>
    <row r="55" customFormat="false" ht="15" hidden="false" customHeight="false" outlineLevel="0" collapsed="false">
      <c r="C55" s="43" t="n">
        <f aca="false">'Cost Detail'!B20</f>
        <v>8914000</v>
      </c>
      <c r="D55" s="43" t="n">
        <f aca="false">'Cost Detail'!C20</f>
        <v>9444000</v>
      </c>
      <c r="E55" s="43" t="n">
        <f aca="false">'Cost Detail'!D20</f>
        <v>10844000</v>
      </c>
      <c r="F55" s="43" t="n">
        <f aca="false">'Cost Detail'!E20</f>
        <v>13644000</v>
      </c>
      <c r="G55" s="43" t="n">
        <f aca="false">'Cost Detail'!F20</f>
        <v>21894000</v>
      </c>
    </row>
    <row r="56" customFormat="false" ht="15" hidden="false" customHeight="false" outlineLevel="0" collapsed="false">
      <c r="C56" s="43" t="n">
        <f aca="false">'Cost Detail'!B28</f>
        <v>1500000</v>
      </c>
      <c r="D56" s="43" t="n">
        <f aca="false">'Cost Detail'!C28</f>
        <v>1500000</v>
      </c>
      <c r="E56" s="43" t="n">
        <f aca="false">'Cost Detail'!D28</f>
        <v>1500000</v>
      </c>
      <c r="F56" s="43" t="n">
        <f aca="false">'Cost Detail'!E28</f>
        <v>1500000</v>
      </c>
      <c r="G56" s="43" t="n">
        <f aca="false">'Cost Detail'!F28</f>
        <v>1500000</v>
      </c>
    </row>
    <row r="57" customFormat="false" ht="15" hidden="false" customHeight="false" outlineLevel="0" collapsed="false">
      <c r="C57" s="43" t="n">
        <f aca="false">'Cost Detail'!B38</f>
        <v>1099000</v>
      </c>
      <c r="D57" s="43" t="n">
        <f aca="false">'Cost Detail'!C38</f>
        <v>1290000</v>
      </c>
      <c r="E57" s="43" t="n">
        <f aca="false">'Cost Detail'!D38</f>
        <v>1965000</v>
      </c>
      <c r="F57" s="43" t="n">
        <f aca="false">'Cost Detail'!E38</f>
        <v>3210000</v>
      </c>
      <c r="G57" s="43" t="n">
        <f aca="false">'Cost Detail'!F38</f>
        <v>6545000</v>
      </c>
    </row>
    <row r="58" customFormat="false" ht="15" hidden="false" customHeight="false" outlineLevel="0" collapsed="false">
      <c r="C58" s="43" t="n">
        <f aca="false">'Cost Detail'!B51</f>
        <v>7851647</v>
      </c>
      <c r="D58" s="43" t="n">
        <f aca="false">'Cost Detail'!C51</f>
        <v>7851647</v>
      </c>
      <c r="E58" s="43" t="n">
        <f aca="false">'Cost Detail'!D51</f>
        <v>7851647</v>
      </c>
      <c r="F58" s="43" t="n">
        <f aca="false">'Cost Detail'!E51</f>
        <v>7851647</v>
      </c>
      <c r="G58" s="43" t="n">
        <f aca="false">'Cost Detail'!F51</f>
        <v>7851647</v>
      </c>
    </row>
    <row r="59" customFormat="false" ht="15" hidden="false" customHeight="false" outlineLevel="0" collapsed="false">
      <c r="C59" s="43" t="n">
        <f aca="false">'Cost Detail'!B57</f>
        <v>700000</v>
      </c>
      <c r="D59" s="43" t="n">
        <f aca="false">'Cost Detail'!C57</f>
        <v>700000</v>
      </c>
      <c r="E59" s="43" t="n">
        <f aca="false">'Cost Detail'!D57</f>
        <v>700000</v>
      </c>
      <c r="F59" s="43" t="n">
        <f aca="false">'Cost Detail'!E57</f>
        <v>700000</v>
      </c>
      <c r="G59" s="43" t="n">
        <f aca="false">'Cost Detail'!F57</f>
        <v>700000</v>
      </c>
    </row>
    <row r="60" customFormat="false" ht="15" hidden="false" customHeight="false" outlineLevel="0" collapsed="false">
      <c r="C60" s="43" t="n">
        <f aca="false">'Cost Detail'!B63</f>
        <v>1041400</v>
      </c>
      <c r="D60" s="43" t="n">
        <f aca="false">'Cost Detail'!C63</f>
        <v>1094400</v>
      </c>
      <c r="E60" s="43" t="n">
        <f aca="false">'Cost Detail'!D63</f>
        <v>1234400</v>
      </c>
      <c r="F60" s="43" t="n">
        <f aca="false">'Cost Detail'!E63</f>
        <v>1514400</v>
      </c>
      <c r="G60" s="43" t="n">
        <f aca="false">'Cost Detail'!F63</f>
        <v>2339400</v>
      </c>
    </row>
    <row r="61" customFormat="false" ht="15" hidden="false" customHeight="false" outlineLevel="0" collapsed="false">
      <c r="C61" s="43" t="n">
        <f aca="false">'Cost Detail'!B65</f>
        <v>27375747</v>
      </c>
      <c r="D61" s="43" t="n">
        <f aca="false">'Cost Detail'!C65</f>
        <v>32329547</v>
      </c>
      <c r="E61" s="43" t="n">
        <f aca="false">'Cost Detail'!D65</f>
        <v>41994047</v>
      </c>
      <c r="F61" s="43" t="n">
        <f aca="false">'Cost Detail'!E65</f>
        <v>64218047</v>
      </c>
      <c r="G61" s="43" t="n">
        <f aca="false">'Cost Detail'!F65</f>
        <v>118425047</v>
      </c>
    </row>
    <row r="62" customFormat="false" ht="15" hidden="false" customHeight="false" outlineLevel="0" collapsed="false">
      <c r="C62" s="43" t="n">
        <f aca="false">C63-C61</f>
        <v>74036253</v>
      </c>
      <c r="D62" s="43" t="n">
        <f aca="false">D63-D61</f>
        <v>136690453</v>
      </c>
      <c r="E62" s="43" t="n">
        <f aca="false">E63-E61</f>
        <v>296045953</v>
      </c>
      <c r="F62" s="43" t="n">
        <f aca="false">F63-F61</f>
        <v>611861953</v>
      </c>
      <c r="G62" s="43" t="n">
        <f aca="false">G63-G61</f>
        <v>1571774953</v>
      </c>
    </row>
    <row r="63" customFormat="false" ht="15" hidden="false" customHeight="false" outlineLevel="0" collapsed="false">
      <c r="C63" s="43" t="n">
        <f aca="false">Revenue!B25</f>
        <v>101412000</v>
      </c>
      <c r="D63" s="43" t="n">
        <f aca="false">Revenue!C25</f>
        <v>169020000</v>
      </c>
      <c r="E63" s="43" t="n">
        <f aca="false">Revenue!D25</f>
        <v>338040000</v>
      </c>
      <c r="F63" s="43" t="n">
        <f aca="false">Revenue!E25</f>
        <v>676080000</v>
      </c>
      <c r="G63" s="43" t="n">
        <f aca="false">Revenue!F25</f>
        <v>1690200000</v>
      </c>
    </row>
    <row r="64" customFormat="false" ht="15" hidden="false" customHeight="false" outlineLevel="0" collapsed="false">
      <c r="C64" s="42" t="n">
        <f aca="false">IF(C63&gt;0,C62/C63,0)</f>
        <v>0.730054165187552</v>
      </c>
      <c r="D64" s="42" t="n">
        <f aca="false">IF(D63&gt;0,D62/D63,0)</f>
        <v>0.808723541592711</v>
      </c>
      <c r="E64" s="42" t="n">
        <f aca="false">IF(E63&gt;0,E62/E63,0)</f>
        <v>0.87577195893977</v>
      </c>
      <c r="F64" s="42" t="n">
        <f aca="false">IF(F63&gt;0,F62/F63,0)</f>
        <v>0.905014129984617</v>
      </c>
      <c r="G64" s="42" t="n">
        <f aca="false">IF(G63&gt;0,G62/G63,0)</f>
        <v>0.929934299491184</v>
      </c>
    </row>
    <row r="65" customFormat="false" ht="15" hidden="false" customHeight="false" outlineLevel="0" collapsed="false">
      <c r="C65" s="42" t="n">
        <v>7.6</v>
      </c>
      <c r="D65" s="42" t="n">
        <v>7.2</v>
      </c>
      <c r="E65" s="42" t="n">
        <v>4.2</v>
      </c>
      <c r="F65" s="42" t="n">
        <v>3.9</v>
      </c>
      <c r="G65" s="42" t="n">
        <v>3.5</v>
      </c>
    </row>
    <row r="66" customFormat="false" ht="15" hidden="false" customHeight="false" outlineLevel="0" collapsed="false">
      <c r="C66" s="42" t="n">
        <v>65500000</v>
      </c>
      <c r="D66" s="42" t="n">
        <v>119300000</v>
      </c>
      <c r="E66" s="42" t="n">
        <v>259647182</v>
      </c>
      <c r="F66" s="42" t="n">
        <v>538200000</v>
      </c>
      <c r="G66" s="42" t="n">
        <v>1390000000</v>
      </c>
    </row>
    <row r="67" customFormat="false" ht="15" hidden="false" customHeight="false" outlineLevel="0" collapsed="false">
      <c r="C67" s="42" t="n">
        <v>0.737</v>
      </c>
      <c r="D67" s="42" t="n">
        <v>0.805</v>
      </c>
      <c r="E67" s="42" t="n">
        <v>0.876</v>
      </c>
      <c r="F67" s="42" t="n">
        <v>0.908</v>
      </c>
      <c r="G67" s="42" t="n">
        <v>0.935</v>
      </c>
    </row>
    <row r="70" customFormat="false" ht="15" hidden="false" customHeight="false" outlineLevel="0" collapsed="false">
      <c r="D70" s="42" t="s">
        <v>39</v>
      </c>
      <c r="E70" s="42" t="s">
        <v>40</v>
      </c>
      <c r="F70" s="42" t="s">
        <v>41</v>
      </c>
      <c r="G70" s="42" t="s">
        <v>42</v>
      </c>
      <c r="H70" s="42" t="s">
        <v>43</v>
      </c>
    </row>
    <row r="71" customFormat="false" ht="15" hidden="false" customHeight="false" outlineLevel="0" collapsed="false">
      <c r="C71" s="42" t="s">
        <v>44</v>
      </c>
      <c r="D71" s="44" t="n">
        <f aca="false">INDEX($C$52:$G$52,1,$C$51)*7320.8/1000000</f>
        <v>73.208</v>
      </c>
      <c r="E71" s="44" t="n">
        <f aca="false">INDEX($C$52:$G$52,1,$C$51)*6620.8/1000000</f>
        <v>66.208</v>
      </c>
      <c r="F71" s="44" t="n">
        <f aca="false">INDEX($C$52:$G$52,1,$C$51)*6620.8/1000000</f>
        <v>66.208</v>
      </c>
      <c r="G71" s="44" t="n">
        <f aca="false">INDEX($C$52:$G$52,1,$C$51)*6620.8/1000000</f>
        <v>66.208</v>
      </c>
      <c r="H71" s="44" t="n">
        <f aca="false">INDEX($C$52:$G$52,1,$C$51)*6620.8/1000000</f>
        <v>66.208</v>
      </c>
    </row>
    <row r="72" customFormat="false" ht="15" hidden="false" customHeight="false" outlineLevel="0" collapsed="false">
      <c r="C72" s="42" t="s">
        <v>45</v>
      </c>
      <c r="D72" s="45" t="n">
        <f aca="false">(INDEX($C$54:$G$54,1,$C$51)+INDEX($C$55:$G$55,1,$C$51)/5+INDEX($C$56:$G$56,1,$C$51)+INDEX($C$57:$G$57,1,$C$51)+INDEX($C$58:$G$58,1,$C$51)+INDEX($C$59:$G$59,1,$C$51)+INDEX($C$60:$G$60,1,$C$51)/5)/1000000</f>
        <v>32.331327</v>
      </c>
      <c r="E72" s="45" t="n">
        <f aca="false">(INDEX($C$55:$G$55,1,$C$51)/5+INDEX($C$60:$G$60,1,$C$51)/5)/1000000</f>
        <v>2.41568</v>
      </c>
      <c r="F72" s="45" t="n">
        <f aca="false">(INDEX($C$55:$G$55,1,$C$51)/5+INDEX($C$60:$G$60,1,$C$51)/5)/1000000</f>
        <v>2.41568</v>
      </c>
      <c r="G72" s="45" t="n">
        <f aca="false">(INDEX($C$55:$G$55,1,$C$51)/5+INDEX($C$60:$G$60,1,$C$51)/5)/1000000</f>
        <v>2.41568</v>
      </c>
      <c r="H72" s="45" t="n">
        <f aca="false">(INDEX($C$55:$G$55,1,$C$51)/5+INDEX($C$60:$G$60,1,$C$51)/5)/1000000</f>
        <v>2.41568</v>
      </c>
    </row>
    <row r="73" customFormat="false" ht="15" hidden="false" customHeight="false" outlineLevel="0" collapsed="false">
      <c r="C73" s="42" t="s">
        <v>46</v>
      </c>
      <c r="D73" s="45" t="n">
        <f aca="false">D71-D72</f>
        <v>40.876673</v>
      </c>
      <c r="E73" s="45" t="n">
        <f aca="false">E71-E72</f>
        <v>63.79232</v>
      </c>
      <c r="F73" s="45" t="n">
        <f aca="false">F71-F72</f>
        <v>63.79232</v>
      </c>
      <c r="G73" s="45" t="n">
        <f aca="false">G71-G72</f>
        <v>63.79232</v>
      </c>
      <c r="H73" s="45" t="n">
        <f aca="false">H71-H72</f>
        <v>63.79232</v>
      </c>
    </row>
    <row r="74" customFormat="false" ht="15" hidden="false" customHeight="false" outlineLevel="0" collapsed="false">
      <c r="C74" s="42" t="s">
        <v>47</v>
      </c>
      <c r="D74" s="44" t="n">
        <f aca="false">D71</f>
        <v>73.208</v>
      </c>
      <c r="E74" s="44" t="n">
        <f aca="false">D74+E71</f>
        <v>139.416</v>
      </c>
      <c r="F74" s="44" t="n">
        <f aca="false">E74+F71</f>
        <v>205.624</v>
      </c>
      <c r="G74" s="44" t="n">
        <f aca="false">F74+G71</f>
        <v>271.832</v>
      </c>
      <c r="H74" s="44" t="n">
        <f aca="false">G74+H71</f>
        <v>338.04</v>
      </c>
    </row>
    <row r="75" customFormat="false" ht="15" hidden="false" customHeight="false" outlineLevel="0" collapsed="false">
      <c r="C75" s="42" t="s">
        <v>48</v>
      </c>
      <c r="D75" s="45" t="n">
        <f aca="false">D73</f>
        <v>40.876673</v>
      </c>
      <c r="E75" s="45" t="n">
        <f aca="false">D75+E73</f>
        <v>104.668993</v>
      </c>
      <c r="F75" s="45" t="n">
        <f aca="false">E75+F73</f>
        <v>168.461313</v>
      </c>
      <c r="G75" s="45" t="n">
        <f aca="false">F75+G73</f>
        <v>232.253633</v>
      </c>
      <c r="H75" s="45" t="n">
        <f aca="false">G75+H73</f>
        <v>296.045953</v>
      </c>
    </row>
    <row r="77" customFormat="false" ht="15" hidden="false" customHeight="false" outlineLevel="0" collapsed="false">
      <c r="D77" s="42" t="s">
        <v>49</v>
      </c>
      <c r="E77" s="42" t="s">
        <v>50</v>
      </c>
      <c r="F77" s="42" t="s">
        <v>51</v>
      </c>
      <c r="G77" s="42" t="s">
        <v>52</v>
      </c>
      <c r="H77" s="42" t="s">
        <v>53</v>
      </c>
      <c r="I77" s="42" t="s">
        <v>54</v>
      </c>
      <c r="J77" s="42" t="s">
        <v>55</v>
      </c>
    </row>
    <row r="78" customFormat="false" ht="15" hidden="false" customHeight="false" outlineLevel="0" collapsed="false">
      <c r="D78" s="43" t="n">
        <f aca="false">INDEX($C$54:$G$54,1,$C$51)</f>
        <v>17899000</v>
      </c>
      <c r="E78" s="43" t="n">
        <f aca="false">INDEX($C$55:$G$55,1,$C$51)</f>
        <v>10844000</v>
      </c>
      <c r="F78" s="43" t="n">
        <f aca="false">INDEX($C$56:$G$56,1,$C$51)</f>
        <v>1500000</v>
      </c>
      <c r="G78" s="43" t="n">
        <f aca="false">INDEX($C$57:$G$57,1,$C$51)</f>
        <v>1965000</v>
      </c>
      <c r="H78" s="43" t="n">
        <f aca="false">INDEX($C$58:$G$58,1,$C$51)</f>
        <v>7851647</v>
      </c>
      <c r="I78" s="43" t="n">
        <f aca="false">INDEX($C$59:$G$59,1,$C$51)</f>
        <v>700000</v>
      </c>
      <c r="J78" s="43" t="n">
        <f aca="false">INDEX($C$60:$G$60,1,$C$51)</f>
        <v>1234400</v>
      </c>
    </row>
  </sheetData>
  <mergeCells count="65">
    <mergeCell ref="B2:P2"/>
    <mergeCell ref="B4:C4"/>
    <mergeCell ref="E4:G4"/>
    <mergeCell ref="H4:J4"/>
    <mergeCell ref="K4:M4"/>
    <mergeCell ref="N4:P4"/>
    <mergeCell ref="E5:G5"/>
    <mergeCell ref="H5:J5"/>
    <mergeCell ref="K5:M5"/>
    <mergeCell ref="N5:P5"/>
    <mergeCell ref="B6:C6"/>
    <mergeCell ref="B9:C9"/>
    <mergeCell ref="B12:C12"/>
    <mergeCell ref="B15:C15"/>
    <mergeCell ref="B18:C18"/>
    <mergeCell ref="B21:C21"/>
    <mergeCell ref="K22:P22"/>
    <mergeCell ref="L23:M23"/>
    <mergeCell ref="N23:P23"/>
    <mergeCell ref="B24:C24"/>
    <mergeCell ref="L24:M24"/>
    <mergeCell ref="N24:P24"/>
    <mergeCell ref="L25:M25"/>
    <mergeCell ref="N25:P25"/>
    <mergeCell ref="B27:C27"/>
    <mergeCell ref="K27:P27"/>
    <mergeCell ref="K28:P29"/>
    <mergeCell ref="K30:P30"/>
    <mergeCell ref="K31:P31"/>
    <mergeCell ref="B36:P36"/>
    <mergeCell ref="E37:F37"/>
    <mergeCell ref="G37:H37"/>
    <mergeCell ref="I37:J37"/>
    <mergeCell ref="K37:L37"/>
    <mergeCell ref="M37:N37"/>
    <mergeCell ref="E38:F38"/>
    <mergeCell ref="G38:H38"/>
    <mergeCell ref="I38:J38"/>
    <mergeCell ref="K38:L38"/>
    <mergeCell ref="M38:N38"/>
    <mergeCell ref="E39:F39"/>
    <mergeCell ref="G39:H39"/>
    <mergeCell ref="I39:J39"/>
    <mergeCell ref="K39:L39"/>
    <mergeCell ref="M39:N39"/>
    <mergeCell ref="E40:F40"/>
    <mergeCell ref="G40:H40"/>
    <mergeCell ref="I40:J40"/>
    <mergeCell ref="K40:L40"/>
    <mergeCell ref="M40:N40"/>
    <mergeCell ref="E41:F41"/>
    <mergeCell ref="G41:H41"/>
    <mergeCell ref="I41:J41"/>
    <mergeCell ref="K41:L41"/>
    <mergeCell ref="M41:N41"/>
    <mergeCell ref="E42:F42"/>
    <mergeCell ref="G42:H42"/>
    <mergeCell ref="I42:J42"/>
    <mergeCell ref="K42:L42"/>
    <mergeCell ref="M42:N42"/>
    <mergeCell ref="E43:F43"/>
    <mergeCell ref="G43:H43"/>
    <mergeCell ref="I43:J43"/>
    <mergeCell ref="K43:L43"/>
    <mergeCell ref="M43:N43"/>
  </mergeCells>
  <dataValidations count="1">
    <dataValidation allowBlank="false" errorStyle="stop" operator="between" prompt="Select a rollout scenario" promptTitle="Meter Rollout" showDropDown="false" showErrorMessage="false" showInputMessage="false" sqref="B6" type="list">
      <formula1>$C$50:$G$50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5" min="4" style="0" width="22"/>
  </cols>
  <sheetData>
    <row r="1" customFormat="false" ht="17.35" hidden="false" customHeight="false" outlineLevel="0" collapsed="false">
      <c r="A1" s="46" t="s">
        <v>56</v>
      </c>
    </row>
    <row r="3" customFormat="false" ht="15" hidden="false" customHeight="false" outlineLevel="0" collapsed="false">
      <c r="A3" s="47" t="s">
        <v>57</v>
      </c>
      <c r="B3" s="47" t="s">
        <v>58</v>
      </c>
      <c r="C3" s="47" t="s">
        <v>59</v>
      </c>
      <c r="D3" s="47" t="s">
        <v>60</v>
      </c>
      <c r="E3" s="47" t="s">
        <v>61</v>
      </c>
    </row>
    <row r="4" customFormat="false" ht="15" hidden="false" customHeight="false" outlineLevel="0" collapsed="false">
      <c r="A4" s="48" t="s">
        <v>62</v>
      </c>
      <c r="B4" s="48" t="s">
        <v>63</v>
      </c>
      <c r="C4" s="48" t="s">
        <v>64</v>
      </c>
      <c r="D4" s="48" t="s">
        <v>65</v>
      </c>
      <c r="E4" s="49" t="n">
        <v>5500</v>
      </c>
    </row>
    <row r="5" customFormat="false" ht="15" hidden="false" customHeight="false" outlineLevel="0" collapsed="false">
      <c r="A5" s="48" t="s">
        <v>66</v>
      </c>
      <c r="B5" s="48" t="s">
        <v>67</v>
      </c>
      <c r="C5" s="48" t="s">
        <v>64</v>
      </c>
      <c r="D5" s="48" t="s">
        <v>68</v>
      </c>
      <c r="E5" s="49" t="n">
        <v>700</v>
      </c>
    </row>
    <row r="6" customFormat="false" ht="15" hidden="false" customHeight="false" outlineLevel="0" collapsed="false">
      <c r="A6" s="48" t="s">
        <v>69</v>
      </c>
      <c r="B6" s="48" t="s">
        <v>70</v>
      </c>
      <c r="C6" s="48" t="s">
        <v>64</v>
      </c>
      <c r="D6" s="48" t="s">
        <v>71</v>
      </c>
      <c r="E6" s="49" t="n">
        <v>300</v>
      </c>
    </row>
    <row r="7" customFormat="false" ht="15" hidden="false" customHeight="false" outlineLevel="0" collapsed="false">
      <c r="A7" s="48" t="s">
        <v>72</v>
      </c>
      <c r="B7" s="48" t="s">
        <v>73</v>
      </c>
      <c r="C7" s="48" t="s">
        <v>74</v>
      </c>
      <c r="D7" s="48" t="s">
        <v>75</v>
      </c>
      <c r="E7" s="49" t="n">
        <v>90</v>
      </c>
    </row>
    <row r="8" customFormat="false" ht="15" hidden="false" customHeight="false" outlineLevel="0" collapsed="false">
      <c r="A8" s="48" t="s">
        <v>76</v>
      </c>
      <c r="B8" s="48" t="s">
        <v>77</v>
      </c>
      <c r="C8" s="48" t="s">
        <v>78</v>
      </c>
      <c r="D8" s="48" t="s">
        <v>79</v>
      </c>
      <c r="E8" s="49" t="n">
        <v>30</v>
      </c>
    </row>
    <row r="9" customFormat="false" ht="15" hidden="false" customHeight="false" outlineLevel="0" collapsed="false">
      <c r="A9" s="48" t="s">
        <v>80</v>
      </c>
      <c r="B9" s="48" t="s">
        <v>81</v>
      </c>
      <c r="C9" s="48" t="s">
        <v>82</v>
      </c>
      <c r="D9" s="48" t="s">
        <v>83</v>
      </c>
      <c r="E9" s="49" t="n">
        <v>624</v>
      </c>
    </row>
    <row r="10" customFormat="false" ht="15" hidden="false" customHeight="false" outlineLevel="0" collapsed="false">
      <c r="A10" s="48" t="s">
        <v>84</v>
      </c>
      <c r="B10" s="48" t="s">
        <v>85</v>
      </c>
      <c r="C10" s="48" t="s">
        <v>86</v>
      </c>
      <c r="D10" s="48" t="s">
        <v>87</v>
      </c>
      <c r="E10" s="49" t="n">
        <v>76.8</v>
      </c>
    </row>
    <row r="11" customFormat="false" ht="15" hidden="false" customHeight="false" outlineLevel="0" collapsed="false">
      <c r="A11" s="50" t="s">
        <v>88</v>
      </c>
      <c r="B11" s="51"/>
      <c r="C11" s="51"/>
      <c r="D11" s="51"/>
      <c r="E11" s="52" t="n">
        <f aca="false">E4+E6+E7+E8+E9+E10</f>
        <v>6620.8</v>
      </c>
    </row>
    <row r="12" customFormat="false" ht="15" hidden="false" customHeight="false" outlineLevel="0" collapsed="false">
      <c r="A12" s="50" t="s">
        <v>89</v>
      </c>
      <c r="B12" s="51"/>
      <c r="C12" s="51"/>
      <c r="D12" s="51"/>
      <c r="E12" s="52" t="n">
        <f aca="false">E11+E5</f>
        <v>7320.8</v>
      </c>
    </row>
    <row r="15" customFormat="false" ht="17.35" hidden="false" customHeight="false" outlineLevel="0" collapsed="false">
      <c r="A15" s="46" t="s">
        <v>90</v>
      </c>
    </row>
    <row r="17" customFormat="false" ht="28.35" hidden="false" customHeight="false" outlineLevel="0" collapsed="false">
      <c r="A17" s="47" t="s">
        <v>57</v>
      </c>
      <c r="B17" s="47" t="s">
        <v>34</v>
      </c>
      <c r="C17" s="47" t="s">
        <v>35</v>
      </c>
      <c r="D17" s="47" t="s">
        <v>7</v>
      </c>
      <c r="E17" s="47" t="s">
        <v>36</v>
      </c>
      <c r="F17" s="47" t="s">
        <v>37</v>
      </c>
    </row>
    <row r="18" customFormat="false" ht="15" hidden="false" customHeight="false" outlineLevel="0" collapsed="false">
      <c r="A18" s="48" t="s">
        <v>91</v>
      </c>
      <c r="B18" s="53" t="n">
        <v>82500000</v>
      </c>
      <c r="C18" s="53" t="n">
        <v>137500000</v>
      </c>
      <c r="D18" s="53" t="n">
        <v>275000000</v>
      </c>
      <c r="E18" s="53" t="n">
        <v>550000000</v>
      </c>
      <c r="F18" s="53" t="n">
        <v>1375000000</v>
      </c>
    </row>
    <row r="19" customFormat="false" ht="15" hidden="false" customHeight="false" outlineLevel="0" collapsed="false">
      <c r="A19" s="48" t="s">
        <v>92</v>
      </c>
      <c r="B19" s="53" t="n">
        <v>2100000</v>
      </c>
      <c r="C19" s="53" t="n">
        <v>3500000</v>
      </c>
      <c r="D19" s="53" t="n">
        <v>7000000</v>
      </c>
      <c r="E19" s="53" t="n">
        <v>14000000</v>
      </c>
      <c r="F19" s="53" t="n">
        <v>35000000</v>
      </c>
    </row>
    <row r="20" customFormat="false" ht="15" hidden="false" customHeight="false" outlineLevel="0" collapsed="false">
      <c r="A20" s="48" t="s">
        <v>69</v>
      </c>
      <c r="B20" s="53" t="n">
        <v>4500000</v>
      </c>
      <c r="C20" s="53" t="n">
        <v>7500000</v>
      </c>
      <c r="D20" s="53" t="n">
        <v>15000000</v>
      </c>
      <c r="E20" s="53" t="n">
        <v>30000000</v>
      </c>
      <c r="F20" s="53" t="n">
        <v>75000000</v>
      </c>
    </row>
    <row r="21" customFormat="false" ht="15" hidden="false" customHeight="false" outlineLevel="0" collapsed="false">
      <c r="A21" s="48" t="s">
        <v>93</v>
      </c>
      <c r="B21" s="53" t="n">
        <v>1350000</v>
      </c>
      <c r="C21" s="53" t="n">
        <v>2250000</v>
      </c>
      <c r="D21" s="53" t="n">
        <v>4500000</v>
      </c>
      <c r="E21" s="53" t="n">
        <v>9000000</v>
      </c>
      <c r="F21" s="53" t="n">
        <v>22500000</v>
      </c>
    </row>
    <row r="22" customFormat="false" ht="15" hidden="false" customHeight="false" outlineLevel="0" collapsed="false">
      <c r="A22" s="48" t="s">
        <v>76</v>
      </c>
      <c r="B22" s="53" t="n">
        <v>450000</v>
      </c>
      <c r="C22" s="53" t="n">
        <v>750000</v>
      </c>
      <c r="D22" s="53" t="n">
        <v>1500000</v>
      </c>
      <c r="E22" s="53" t="n">
        <v>3000000</v>
      </c>
      <c r="F22" s="53" t="n">
        <v>7500000</v>
      </c>
    </row>
    <row r="23" customFormat="false" ht="15" hidden="false" customHeight="false" outlineLevel="0" collapsed="false">
      <c r="A23" s="48" t="s">
        <v>94</v>
      </c>
      <c r="B23" s="53" t="n">
        <v>9360000</v>
      </c>
      <c r="C23" s="53" t="n">
        <v>15600000</v>
      </c>
      <c r="D23" s="53" t="n">
        <v>31200000</v>
      </c>
      <c r="E23" s="53" t="n">
        <v>62400000</v>
      </c>
      <c r="F23" s="53" t="n">
        <v>156000000</v>
      </c>
    </row>
    <row r="24" customFormat="false" ht="15" hidden="false" customHeight="false" outlineLevel="0" collapsed="false">
      <c r="A24" s="48" t="s">
        <v>84</v>
      </c>
      <c r="B24" s="53" t="n">
        <v>1152000</v>
      </c>
      <c r="C24" s="53" t="n">
        <v>1920000</v>
      </c>
      <c r="D24" s="53" t="n">
        <v>3840000</v>
      </c>
      <c r="E24" s="53" t="n">
        <v>7680000</v>
      </c>
      <c r="F24" s="53" t="n">
        <v>19200000</v>
      </c>
    </row>
    <row r="25" customFormat="false" ht="15" hidden="false" customHeight="false" outlineLevel="0" collapsed="false">
      <c r="A25" s="54" t="s">
        <v>95</v>
      </c>
      <c r="B25" s="55" t="n">
        <f aca="false">SUM(B18:B24)</f>
        <v>101412000</v>
      </c>
      <c r="C25" s="55" t="n">
        <f aca="false">SUM(C18:C24)</f>
        <v>169020000</v>
      </c>
      <c r="D25" s="55" t="n">
        <f aca="false">SUM(D18:D24)</f>
        <v>338040000</v>
      </c>
      <c r="E25" s="55" t="n">
        <f aca="false">SUM(E18:E24)</f>
        <v>676080000</v>
      </c>
      <c r="F25" s="55" t="n">
        <f aca="false">SUM(F18:F24)</f>
        <v>1690200000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F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6" min="2" style="0" width="18"/>
  </cols>
  <sheetData>
    <row r="1" customFormat="false" ht="17.35" hidden="false" customHeight="false" outlineLevel="0" collapsed="false">
      <c r="A1" s="46" t="s">
        <v>96</v>
      </c>
    </row>
    <row r="3" customFormat="false" ht="15" hidden="false" customHeight="false" outlineLevel="0" collapsed="false">
      <c r="A3" s="56" t="s">
        <v>97</v>
      </c>
      <c r="B3" s="57"/>
      <c r="C3" s="57"/>
      <c r="D3" s="57"/>
      <c r="E3" s="57"/>
      <c r="F3" s="57"/>
    </row>
    <row r="4" customFormat="false" ht="15" hidden="false" customHeight="false" outlineLevel="0" collapsed="false">
      <c r="A4" s="47" t="s">
        <v>98</v>
      </c>
      <c r="B4" s="47" t="s">
        <v>34</v>
      </c>
      <c r="C4" s="47" t="s">
        <v>35</v>
      </c>
      <c r="D4" s="47" t="s">
        <v>7</v>
      </c>
      <c r="E4" s="47" t="s">
        <v>36</v>
      </c>
      <c r="F4" s="47" t="s">
        <v>37</v>
      </c>
    </row>
    <row r="5" customFormat="false" ht="15" hidden="false" customHeight="false" outlineLevel="0" collapsed="false">
      <c r="A5" s="48" t="s">
        <v>99</v>
      </c>
      <c r="B5" s="53" t="n">
        <v>6000000</v>
      </c>
      <c r="C5" s="53" t="n">
        <v>10000000</v>
      </c>
      <c r="D5" s="53" t="n">
        <v>17000000</v>
      </c>
      <c r="E5" s="53" t="n">
        <v>34000000</v>
      </c>
      <c r="F5" s="53" t="n">
        <v>73100000</v>
      </c>
    </row>
    <row r="6" customFormat="false" ht="15" hidden="false" customHeight="false" outlineLevel="0" collapsed="false">
      <c r="A6" s="48" t="s">
        <v>100</v>
      </c>
      <c r="B6" s="53" t="n">
        <v>269700</v>
      </c>
      <c r="C6" s="53" t="n">
        <v>449500</v>
      </c>
      <c r="D6" s="53" t="n">
        <v>899000</v>
      </c>
      <c r="E6" s="53" t="n">
        <v>1798000</v>
      </c>
      <c r="F6" s="53" t="n">
        <v>4495000</v>
      </c>
    </row>
    <row r="7" customFormat="false" ht="15" hidden="false" customHeight="false" outlineLevel="0" collapsed="false">
      <c r="A7" s="58" t="s">
        <v>101</v>
      </c>
      <c r="B7" s="59" t="n">
        <f aca="false">SUM(B5:B6)</f>
        <v>6269700</v>
      </c>
      <c r="C7" s="59" t="n">
        <f aca="false">SUM(C5:C6)</f>
        <v>10449500</v>
      </c>
      <c r="D7" s="59" t="n">
        <f aca="false">SUM(D5:D6)</f>
        <v>17899000</v>
      </c>
      <c r="E7" s="59" t="n">
        <f aca="false">SUM(E5:E6)</f>
        <v>35798000</v>
      </c>
      <c r="F7" s="59" t="n">
        <f aca="false">SUM(F5:F6)</f>
        <v>77595000</v>
      </c>
    </row>
    <row r="9" customFormat="false" ht="15" hidden="false" customHeight="false" outlineLevel="0" collapsed="false">
      <c r="A9" s="56" t="s">
        <v>102</v>
      </c>
      <c r="B9" s="57"/>
      <c r="C9" s="57"/>
      <c r="D9" s="57"/>
      <c r="E9" s="57"/>
      <c r="F9" s="57"/>
    </row>
    <row r="10" customFormat="false" ht="15" hidden="false" customHeight="false" outlineLevel="0" collapsed="false">
      <c r="A10" s="47" t="s">
        <v>98</v>
      </c>
      <c r="B10" s="47" t="s">
        <v>34</v>
      </c>
      <c r="C10" s="47" t="s">
        <v>35</v>
      </c>
      <c r="D10" s="47" t="s">
        <v>7</v>
      </c>
      <c r="E10" s="47" t="s">
        <v>36</v>
      </c>
      <c r="F10" s="47" t="s">
        <v>37</v>
      </c>
    </row>
    <row r="11" customFormat="false" ht="15" hidden="false" customHeight="false" outlineLevel="0" collapsed="false">
      <c r="A11" s="48" t="s">
        <v>103</v>
      </c>
      <c r="B11" s="53" t="n">
        <v>3744000</v>
      </c>
      <c r="C11" s="53" t="n">
        <v>3744000</v>
      </c>
      <c r="D11" s="53" t="n">
        <v>3744000</v>
      </c>
      <c r="E11" s="53" t="n">
        <v>3744000</v>
      </c>
      <c r="F11" s="53" t="n">
        <v>3744000</v>
      </c>
    </row>
    <row r="12" customFormat="false" ht="15" hidden="false" customHeight="false" outlineLevel="0" collapsed="false">
      <c r="A12" s="48" t="s">
        <v>104</v>
      </c>
      <c r="B12" s="53" t="n">
        <v>720000</v>
      </c>
      <c r="C12" s="53" t="n">
        <v>1200000</v>
      </c>
      <c r="D12" s="53" t="n">
        <v>2400000</v>
      </c>
      <c r="E12" s="53" t="n">
        <v>4800000</v>
      </c>
      <c r="F12" s="53" t="n">
        <v>12000000</v>
      </c>
    </row>
    <row r="13" customFormat="false" ht="15" hidden="false" customHeight="false" outlineLevel="0" collapsed="false">
      <c r="A13" s="48" t="s">
        <v>105</v>
      </c>
      <c r="B13" s="53" t="n">
        <v>300000</v>
      </c>
      <c r="C13" s="53" t="n">
        <v>300000</v>
      </c>
      <c r="D13" s="53" t="n">
        <v>450000</v>
      </c>
      <c r="E13" s="53" t="n">
        <v>750000</v>
      </c>
      <c r="F13" s="53" t="n">
        <v>1500000</v>
      </c>
    </row>
    <row r="14" customFormat="false" ht="15" hidden="false" customHeight="false" outlineLevel="0" collapsed="false">
      <c r="A14" s="48" t="s">
        <v>106</v>
      </c>
      <c r="B14" s="53" t="n">
        <v>100000</v>
      </c>
      <c r="C14" s="53" t="n">
        <v>150000</v>
      </c>
      <c r="D14" s="53" t="n">
        <v>200000</v>
      </c>
      <c r="E14" s="53" t="n">
        <v>300000</v>
      </c>
      <c r="F14" s="53" t="n">
        <v>600000</v>
      </c>
    </row>
    <row r="15" customFormat="false" ht="15" hidden="false" customHeight="false" outlineLevel="0" collapsed="false">
      <c r="A15" s="48" t="s">
        <v>107</v>
      </c>
      <c r="B15" s="53" t="n">
        <v>1200000</v>
      </c>
      <c r="C15" s="53" t="n">
        <v>1200000</v>
      </c>
      <c r="D15" s="53" t="n">
        <v>1200000</v>
      </c>
      <c r="E15" s="53" t="n">
        <v>1200000</v>
      </c>
      <c r="F15" s="53" t="n">
        <v>1200000</v>
      </c>
    </row>
    <row r="16" customFormat="false" ht="15" hidden="false" customHeight="false" outlineLevel="0" collapsed="false">
      <c r="A16" s="48" t="s">
        <v>108</v>
      </c>
      <c r="B16" s="53" t="n">
        <v>600000</v>
      </c>
      <c r="C16" s="53" t="n">
        <v>600000</v>
      </c>
      <c r="D16" s="53" t="n">
        <v>600000</v>
      </c>
      <c r="E16" s="53" t="n">
        <v>600000</v>
      </c>
      <c r="F16" s="53" t="n">
        <v>600000</v>
      </c>
    </row>
    <row r="17" customFormat="false" ht="15" hidden="false" customHeight="false" outlineLevel="0" collapsed="false">
      <c r="A17" s="48" t="s">
        <v>109</v>
      </c>
      <c r="B17" s="53" t="n">
        <v>1000000</v>
      </c>
      <c r="C17" s="53" t="n">
        <v>1000000</v>
      </c>
      <c r="D17" s="53" t="n">
        <v>1000000</v>
      </c>
      <c r="E17" s="53" t="n">
        <v>1000000</v>
      </c>
      <c r="F17" s="53" t="n">
        <v>1000000</v>
      </c>
    </row>
    <row r="18" customFormat="false" ht="15" hidden="false" customHeight="false" outlineLevel="0" collapsed="false">
      <c r="A18" s="48" t="s">
        <v>110</v>
      </c>
      <c r="B18" s="53" t="n">
        <v>500000</v>
      </c>
      <c r="C18" s="53" t="n">
        <v>500000</v>
      </c>
      <c r="D18" s="53" t="n">
        <v>500000</v>
      </c>
      <c r="E18" s="53" t="n">
        <v>500000</v>
      </c>
      <c r="F18" s="53" t="n">
        <v>500000</v>
      </c>
    </row>
    <row r="19" customFormat="false" ht="15" hidden="false" customHeight="false" outlineLevel="0" collapsed="false">
      <c r="A19" s="48" t="s">
        <v>111</v>
      </c>
      <c r="B19" s="53" t="n">
        <v>750000</v>
      </c>
      <c r="C19" s="53" t="n">
        <v>750000</v>
      </c>
      <c r="D19" s="53" t="n">
        <v>750000</v>
      </c>
      <c r="E19" s="53" t="n">
        <v>750000</v>
      </c>
      <c r="F19" s="53" t="n">
        <v>750000</v>
      </c>
    </row>
    <row r="20" customFormat="false" ht="15" hidden="false" customHeight="false" outlineLevel="0" collapsed="false">
      <c r="A20" s="58" t="s">
        <v>112</v>
      </c>
      <c r="B20" s="59" t="n">
        <f aca="false">SUM(B11:B19)</f>
        <v>8914000</v>
      </c>
      <c r="C20" s="59" t="n">
        <f aca="false">SUM(C11:C19)</f>
        <v>9444000</v>
      </c>
      <c r="D20" s="59" t="n">
        <f aca="false">SUM(D11:D19)</f>
        <v>10844000</v>
      </c>
      <c r="E20" s="59" t="n">
        <f aca="false">SUM(E11:E19)</f>
        <v>13644000</v>
      </c>
      <c r="F20" s="59" t="n">
        <f aca="false">SUM(F11:F19)</f>
        <v>21894000</v>
      </c>
    </row>
    <row r="22" customFormat="false" ht="15" hidden="false" customHeight="false" outlineLevel="0" collapsed="false">
      <c r="A22" s="56" t="s">
        <v>113</v>
      </c>
      <c r="B22" s="57"/>
      <c r="C22" s="57"/>
      <c r="D22" s="57"/>
      <c r="E22" s="57"/>
      <c r="F22" s="57"/>
    </row>
    <row r="23" customFormat="false" ht="15" hidden="false" customHeight="false" outlineLevel="0" collapsed="false">
      <c r="A23" s="47" t="s">
        <v>98</v>
      </c>
      <c r="B23" s="47" t="s">
        <v>34</v>
      </c>
      <c r="C23" s="47" t="s">
        <v>35</v>
      </c>
      <c r="D23" s="47" t="s">
        <v>7</v>
      </c>
      <c r="E23" s="47" t="s">
        <v>36</v>
      </c>
      <c r="F23" s="47" t="s">
        <v>37</v>
      </c>
    </row>
    <row r="24" customFormat="false" ht="15" hidden="false" customHeight="false" outlineLevel="0" collapsed="false">
      <c r="A24" s="48" t="s">
        <v>114</v>
      </c>
      <c r="B24" s="53" t="n">
        <v>500000</v>
      </c>
      <c r="C24" s="53" t="n">
        <v>500000</v>
      </c>
      <c r="D24" s="53" t="n">
        <v>500000</v>
      </c>
      <c r="E24" s="53" t="n">
        <v>500000</v>
      </c>
      <c r="F24" s="53" t="n">
        <v>500000</v>
      </c>
    </row>
    <row r="25" customFormat="false" ht="15" hidden="false" customHeight="false" outlineLevel="0" collapsed="false">
      <c r="A25" s="48" t="s">
        <v>115</v>
      </c>
      <c r="B25" s="53" t="n">
        <v>300000</v>
      </c>
      <c r="C25" s="53" t="n">
        <v>300000</v>
      </c>
      <c r="D25" s="53" t="n">
        <v>300000</v>
      </c>
      <c r="E25" s="53" t="n">
        <v>300000</v>
      </c>
      <c r="F25" s="53" t="n">
        <v>300000</v>
      </c>
    </row>
    <row r="26" customFormat="false" ht="15" hidden="false" customHeight="false" outlineLevel="0" collapsed="false">
      <c r="A26" s="48" t="s">
        <v>116</v>
      </c>
      <c r="B26" s="53" t="n">
        <v>250000</v>
      </c>
      <c r="C26" s="53" t="n">
        <v>250000</v>
      </c>
      <c r="D26" s="53" t="n">
        <v>250000</v>
      </c>
      <c r="E26" s="53" t="n">
        <v>250000</v>
      </c>
      <c r="F26" s="53" t="n">
        <v>250000</v>
      </c>
    </row>
    <row r="27" customFormat="false" ht="15" hidden="false" customHeight="false" outlineLevel="0" collapsed="false">
      <c r="A27" s="48" t="s">
        <v>117</v>
      </c>
      <c r="B27" s="53" t="n">
        <v>450000</v>
      </c>
      <c r="C27" s="53" t="n">
        <v>450000</v>
      </c>
      <c r="D27" s="53" t="n">
        <v>450000</v>
      </c>
      <c r="E27" s="53" t="n">
        <v>450000</v>
      </c>
      <c r="F27" s="53" t="n">
        <v>450000</v>
      </c>
    </row>
    <row r="28" customFormat="false" ht="15" hidden="false" customHeight="false" outlineLevel="0" collapsed="false">
      <c r="A28" s="58" t="s">
        <v>118</v>
      </c>
      <c r="B28" s="59" t="n">
        <f aca="false">SUM(B24:B27)</f>
        <v>1500000</v>
      </c>
      <c r="C28" s="59" t="n">
        <f aca="false">SUM(C24:C27)</f>
        <v>1500000</v>
      </c>
      <c r="D28" s="59" t="n">
        <f aca="false">SUM(D24:D27)</f>
        <v>1500000</v>
      </c>
      <c r="E28" s="59" t="n">
        <f aca="false">SUM(E24:E27)</f>
        <v>1500000</v>
      </c>
      <c r="F28" s="59" t="n">
        <f aca="false">SUM(F24:F27)</f>
        <v>1500000</v>
      </c>
    </row>
    <row r="30" customFormat="false" ht="15" hidden="false" customHeight="false" outlineLevel="0" collapsed="false">
      <c r="A30" s="56" t="s">
        <v>119</v>
      </c>
      <c r="B30" s="57"/>
      <c r="C30" s="57"/>
      <c r="D30" s="57"/>
      <c r="E30" s="57"/>
      <c r="F30" s="57"/>
    </row>
    <row r="31" customFormat="false" ht="15" hidden="false" customHeight="false" outlineLevel="0" collapsed="false">
      <c r="A31" s="47" t="s">
        <v>98</v>
      </c>
      <c r="B31" s="47" t="s">
        <v>34</v>
      </c>
      <c r="C31" s="47" t="s">
        <v>35</v>
      </c>
      <c r="D31" s="47" t="s">
        <v>7</v>
      </c>
      <c r="E31" s="47" t="s">
        <v>36</v>
      </c>
      <c r="F31" s="47" t="s">
        <v>37</v>
      </c>
    </row>
    <row r="32" customFormat="false" ht="15" hidden="false" customHeight="false" outlineLevel="0" collapsed="false">
      <c r="A32" s="48" t="s">
        <v>120</v>
      </c>
      <c r="B32" s="53" t="n">
        <v>500000</v>
      </c>
      <c r="C32" s="53" t="n">
        <v>500000</v>
      </c>
      <c r="D32" s="53" t="n">
        <v>750000</v>
      </c>
      <c r="E32" s="53" t="n">
        <v>1250000</v>
      </c>
      <c r="F32" s="53" t="n">
        <v>2500000</v>
      </c>
    </row>
    <row r="33" customFormat="false" ht="15" hidden="false" customHeight="false" outlineLevel="0" collapsed="false">
      <c r="A33" s="48" t="s">
        <v>121</v>
      </c>
      <c r="B33" s="53" t="n">
        <v>170000</v>
      </c>
      <c r="C33" s="53" t="n">
        <v>255000</v>
      </c>
      <c r="D33" s="53" t="n">
        <v>340000</v>
      </c>
      <c r="E33" s="53" t="n">
        <v>510000</v>
      </c>
      <c r="F33" s="53" t="n">
        <v>1020000</v>
      </c>
    </row>
    <row r="34" customFormat="false" ht="15" hidden="false" customHeight="false" outlineLevel="0" collapsed="false">
      <c r="A34" s="48" t="s">
        <v>122</v>
      </c>
      <c r="B34" s="53" t="n">
        <v>45000</v>
      </c>
      <c r="C34" s="53" t="n">
        <v>75000</v>
      </c>
      <c r="D34" s="53" t="n">
        <v>105000</v>
      </c>
      <c r="E34" s="53" t="n">
        <v>180000</v>
      </c>
      <c r="F34" s="53" t="n">
        <v>375000</v>
      </c>
    </row>
    <row r="35" customFormat="false" ht="15" hidden="false" customHeight="false" outlineLevel="0" collapsed="false">
      <c r="A35" s="48" t="s">
        <v>123</v>
      </c>
      <c r="B35" s="53" t="n">
        <v>120000</v>
      </c>
      <c r="C35" s="53" t="n">
        <v>120000</v>
      </c>
      <c r="D35" s="53" t="n">
        <v>240000</v>
      </c>
      <c r="E35" s="53" t="n">
        <v>360000</v>
      </c>
      <c r="F35" s="53" t="n">
        <v>600000</v>
      </c>
    </row>
    <row r="36" customFormat="false" ht="15" hidden="false" customHeight="false" outlineLevel="0" collapsed="false">
      <c r="A36" s="48" t="s">
        <v>124</v>
      </c>
      <c r="B36" s="53" t="n">
        <v>119000</v>
      </c>
      <c r="C36" s="53" t="n">
        <v>165000</v>
      </c>
      <c r="D36" s="53" t="n">
        <v>280000</v>
      </c>
      <c r="E36" s="53" t="n">
        <v>510000</v>
      </c>
      <c r="F36" s="53" t="n">
        <v>1200000</v>
      </c>
    </row>
    <row r="37" customFormat="false" ht="15" hidden="false" customHeight="false" outlineLevel="0" collapsed="false">
      <c r="A37" s="48" t="s">
        <v>125</v>
      </c>
      <c r="B37" s="53" t="n">
        <v>145000</v>
      </c>
      <c r="C37" s="53" t="n">
        <v>175000</v>
      </c>
      <c r="D37" s="53" t="n">
        <v>250000</v>
      </c>
      <c r="E37" s="53" t="n">
        <v>400000</v>
      </c>
      <c r="F37" s="53" t="n">
        <v>850000</v>
      </c>
    </row>
    <row r="38" customFormat="false" ht="15" hidden="false" customHeight="false" outlineLevel="0" collapsed="false">
      <c r="A38" s="58" t="s">
        <v>126</v>
      </c>
      <c r="B38" s="59" t="n">
        <f aca="false">SUM(B32:B37)</f>
        <v>1099000</v>
      </c>
      <c r="C38" s="59" t="n">
        <f aca="false">SUM(C32:C37)</f>
        <v>1290000</v>
      </c>
      <c r="D38" s="59" t="n">
        <f aca="false">SUM(D32:D37)</f>
        <v>1965000</v>
      </c>
      <c r="E38" s="59" t="n">
        <f aca="false">SUM(E32:E37)</f>
        <v>3210000</v>
      </c>
      <c r="F38" s="59" t="n">
        <f aca="false">SUM(F32:F37)</f>
        <v>6545000</v>
      </c>
    </row>
    <row r="40" customFormat="false" ht="15" hidden="false" customHeight="false" outlineLevel="0" collapsed="false">
      <c r="A40" s="56" t="s">
        <v>127</v>
      </c>
      <c r="B40" s="57"/>
      <c r="C40" s="57"/>
      <c r="D40" s="57"/>
      <c r="E40" s="57"/>
      <c r="F40" s="57"/>
    </row>
    <row r="41" customFormat="false" ht="15" hidden="false" customHeight="false" outlineLevel="0" collapsed="false">
      <c r="A41" s="47" t="s">
        <v>98</v>
      </c>
      <c r="B41" s="47" t="s">
        <v>34</v>
      </c>
      <c r="C41" s="47" t="s">
        <v>35</v>
      </c>
      <c r="D41" s="47" t="s">
        <v>7</v>
      </c>
      <c r="E41" s="47" t="s">
        <v>36</v>
      </c>
      <c r="F41" s="47" t="s">
        <v>37</v>
      </c>
    </row>
    <row r="42" customFormat="false" ht="15" hidden="false" customHeight="false" outlineLevel="0" collapsed="false">
      <c r="A42" s="48" t="s">
        <v>128</v>
      </c>
      <c r="B42" s="53" t="n">
        <v>312000</v>
      </c>
      <c r="C42" s="53" t="n">
        <v>312000</v>
      </c>
      <c r="D42" s="53" t="n">
        <v>312000</v>
      </c>
      <c r="E42" s="53" t="n">
        <v>312000</v>
      </c>
      <c r="F42" s="53" t="n">
        <v>312000</v>
      </c>
    </row>
    <row r="43" customFormat="false" ht="15" hidden="false" customHeight="false" outlineLevel="0" collapsed="false">
      <c r="A43" s="48" t="s">
        <v>129</v>
      </c>
      <c r="B43" s="53" t="n">
        <v>777747</v>
      </c>
      <c r="C43" s="53" t="n">
        <v>777747</v>
      </c>
      <c r="D43" s="53" t="n">
        <v>777747</v>
      </c>
      <c r="E43" s="53" t="n">
        <v>777747</v>
      </c>
      <c r="F43" s="53" t="n">
        <v>777747</v>
      </c>
    </row>
    <row r="44" customFormat="false" ht="15" hidden="false" customHeight="false" outlineLevel="0" collapsed="false">
      <c r="A44" s="48" t="s">
        <v>130</v>
      </c>
      <c r="B44" s="53" t="n">
        <v>300000</v>
      </c>
      <c r="C44" s="53" t="n">
        <v>300000</v>
      </c>
      <c r="D44" s="53" t="n">
        <v>300000</v>
      </c>
      <c r="E44" s="53" t="n">
        <v>300000</v>
      </c>
      <c r="F44" s="53" t="n">
        <v>300000</v>
      </c>
    </row>
    <row r="45" customFormat="false" ht="15" hidden="false" customHeight="false" outlineLevel="0" collapsed="false">
      <c r="A45" s="48" t="s">
        <v>131</v>
      </c>
      <c r="B45" s="53" t="n">
        <v>2160000</v>
      </c>
      <c r="C45" s="53" t="n">
        <v>2160000</v>
      </c>
      <c r="D45" s="53" t="n">
        <v>2160000</v>
      </c>
      <c r="E45" s="53" t="n">
        <v>2160000</v>
      </c>
      <c r="F45" s="53" t="n">
        <v>2160000</v>
      </c>
    </row>
    <row r="46" customFormat="false" ht="15" hidden="false" customHeight="false" outlineLevel="0" collapsed="false">
      <c r="A46" s="48" t="s">
        <v>132</v>
      </c>
      <c r="B46" s="53" t="n">
        <v>1403850</v>
      </c>
      <c r="C46" s="53" t="n">
        <v>1403850</v>
      </c>
      <c r="D46" s="53" t="n">
        <v>1403850</v>
      </c>
      <c r="E46" s="53" t="n">
        <v>1403850</v>
      </c>
      <c r="F46" s="53" t="n">
        <v>1403850</v>
      </c>
    </row>
    <row r="47" customFormat="false" ht="15" hidden="false" customHeight="false" outlineLevel="0" collapsed="false">
      <c r="A47" s="48" t="s">
        <v>133</v>
      </c>
      <c r="B47" s="53" t="n">
        <v>325000</v>
      </c>
      <c r="C47" s="53" t="n">
        <v>325000</v>
      </c>
      <c r="D47" s="53" t="n">
        <v>325000</v>
      </c>
      <c r="E47" s="53" t="n">
        <v>325000</v>
      </c>
      <c r="F47" s="53" t="n">
        <v>325000</v>
      </c>
    </row>
    <row r="48" customFormat="false" ht="15" hidden="false" customHeight="false" outlineLevel="0" collapsed="false">
      <c r="A48" s="48" t="s">
        <v>134</v>
      </c>
      <c r="B48" s="53" t="n">
        <v>1060000</v>
      </c>
      <c r="C48" s="53" t="n">
        <v>1060000</v>
      </c>
      <c r="D48" s="53" t="n">
        <v>1060000</v>
      </c>
      <c r="E48" s="53" t="n">
        <v>1060000</v>
      </c>
      <c r="F48" s="53" t="n">
        <v>1060000</v>
      </c>
    </row>
    <row r="49" customFormat="false" ht="15" hidden="false" customHeight="false" outlineLevel="0" collapsed="false">
      <c r="A49" s="48" t="s">
        <v>135</v>
      </c>
      <c r="B49" s="53" t="n">
        <v>897400</v>
      </c>
      <c r="C49" s="53" t="n">
        <v>897400</v>
      </c>
      <c r="D49" s="53" t="n">
        <v>897400</v>
      </c>
      <c r="E49" s="53" t="n">
        <v>897400</v>
      </c>
      <c r="F49" s="53" t="n">
        <v>897400</v>
      </c>
    </row>
    <row r="50" customFormat="false" ht="15" hidden="false" customHeight="false" outlineLevel="0" collapsed="false">
      <c r="A50" s="48" t="s">
        <v>136</v>
      </c>
      <c r="B50" s="53" t="n">
        <v>615650</v>
      </c>
      <c r="C50" s="53" t="n">
        <v>615650</v>
      </c>
      <c r="D50" s="53" t="n">
        <v>615650</v>
      </c>
      <c r="E50" s="53" t="n">
        <v>615650</v>
      </c>
      <c r="F50" s="53" t="n">
        <v>615650</v>
      </c>
    </row>
    <row r="51" customFormat="false" ht="15" hidden="false" customHeight="false" outlineLevel="0" collapsed="false">
      <c r="A51" s="58" t="s">
        <v>137</v>
      </c>
      <c r="B51" s="59" t="n">
        <f aca="false">SUM(B42:B50)</f>
        <v>7851647</v>
      </c>
      <c r="C51" s="59" t="n">
        <f aca="false">SUM(C42:C50)</f>
        <v>7851647</v>
      </c>
      <c r="D51" s="59" t="n">
        <f aca="false">SUM(D42:D50)</f>
        <v>7851647</v>
      </c>
      <c r="E51" s="59" t="n">
        <f aca="false">SUM(E42:E50)</f>
        <v>7851647</v>
      </c>
      <c r="F51" s="59" t="n">
        <f aca="false">SUM(F42:F50)</f>
        <v>7851647</v>
      </c>
    </row>
    <row r="53" customFormat="false" ht="15" hidden="false" customHeight="false" outlineLevel="0" collapsed="false">
      <c r="A53" s="56" t="s">
        <v>138</v>
      </c>
      <c r="B53" s="57"/>
      <c r="C53" s="57"/>
      <c r="D53" s="57"/>
      <c r="E53" s="57"/>
      <c r="F53" s="57"/>
    </row>
    <row r="54" customFormat="false" ht="15" hidden="false" customHeight="false" outlineLevel="0" collapsed="false">
      <c r="A54" s="47" t="s">
        <v>98</v>
      </c>
      <c r="B54" s="47" t="s">
        <v>34</v>
      </c>
      <c r="C54" s="47" t="s">
        <v>35</v>
      </c>
      <c r="D54" s="47" t="s">
        <v>7</v>
      </c>
      <c r="E54" s="47" t="s">
        <v>36</v>
      </c>
      <c r="F54" s="47" t="s">
        <v>37</v>
      </c>
    </row>
    <row r="55" customFormat="false" ht="15" hidden="false" customHeight="false" outlineLevel="0" collapsed="false">
      <c r="A55" s="48" t="s">
        <v>139</v>
      </c>
      <c r="B55" s="53" t="n">
        <v>500000</v>
      </c>
      <c r="C55" s="53" t="n">
        <v>500000</v>
      </c>
      <c r="D55" s="53" t="n">
        <v>500000</v>
      </c>
      <c r="E55" s="53" t="n">
        <v>500000</v>
      </c>
      <c r="F55" s="53" t="n">
        <v>500000</v>
      </c>
    </row>
    <row r="56" customFormat="false" ht="15" hidden="false" customHeight="false" outlineLevel="0" collapsed="false">
      <c r="A56" s="48" t="s">
        <v>140</v>
      </c>
      <c r="B56" s="53" t="n">
        <v>200000</v>
      </c>
      <c r="C56" s="53" t="n">
        <v>200000</v>
      </c>
      <c r="D56" s="53" t="n">
        <v>200000</v>
      </c>
      <c r="E56" s="53" t="n">
        <v>200000</v>
      </c>
      <c r="F56" s="53" t="n">
        <v>200000</v>
      </c>
    </row>
    <row r="57" customFormat="false" ht="15" hidden="false" customHeight="false" outlineLevel="0" collapsed="false">
      <c r="A57" s="58" t="s">
        <v>141</v>
      </c>
      <c r="B57" s="59" t="n">
        <f aca="false">SUM(B55:B56)</f>
        <v>700000</v>
      </c>
      <c r="C57" s="59" t="n">
        <f aca="false">SUM(C55:C56)</f>
        <v>700000</v>
      </c>
      <c r="D57" s="59" t="n">
        <f aca="false">SUM(D55:D56)</f>
        <v>700000</v>
      </c>
      <c r="E57" s="59" t="n">
        <f aca="false">SUM(E55:E56)</f>
        <v>700000</v>
      </c>
      <c r="F57" s="59" t="n">
        <f aca="false">SUM(F55:F56)</f>
        <v>700000</v>
      </c>
    </row>
    <row r="59" customFormat="false" ht="15" hidden="false" customHeight="false" outlineLevel="0" collapsed="false">
      <c r="A59" s="56" t="s">
        <v>142</v>
      </c>
      <c r="B59" s="57"/>
      <c r="C59" s="57"/>
      <c r="D59" s="57"/>
      <c r="E59" s="57"/>
      <c r="F59" s="57"/>
    </row>
    <row r="60" customFormat="false" ht="15" hidden="false" customHeight="false" outlineLevel="0" collapsed="false">
      <c r="A60" s="47" t="s">
        <v>98</v>
      </c>
      <c r="B60" s="47" t="s">
        <v>34</v>
      </c>
      <c r="C60" s="47" t="s">
        <v>35</v>
      </c>
      <c r="D60" s="47" t="s">
        <v>7</v>
      </c>
      <c r="E60" s="47" t="s">
        <v>36</v>
      </c>
      <c r="F60" s="47" t="s">
        <v>37</v>
      </c>
    </row>
    <row r="61" customFormat="false" ht="15" hidden="false" customHeight="false" outlineLevel="0" collapsed="false">
      <c r="A61" s="48" t="s">
        <v>143</v>
      </c>
      <c r="B61" s="60" t="n">
        <f aca="false">B20*0.1</f>
        <v>891400</v>
      </c>
      <c r="C61" s="60" t="n">
        <f aca="false">C20*0.1</f>
        <v>944400</v>
      </c>
      <c r="D61" s="60" t="n">
        <f aca="false">D20*0.1</f>
        <v>1084400</v>
      </c>
      <c r="E61" s="60" t="n">
        <f aca="false">E20*0.1</f>
        <v>1364400</v>
      </c>
      <c r="F61" s="60" t="n">
        <f aca="false">F20*0.1</f>
        <v>2189400</v>
      </c>
    </row>
    <row r="62" customFormat="false" ht="15" hidden="false" customHeight="false" outlineLevel="0" collapsed="false">
      <c r="A62" s="48" t="s">
        <v>144</v>
      </c>
      <c r="B62" s="60" t="n">
        <f aca="false">B28*0.1</f>
        <v>150000</v>
      </c>
      <c r="C62" s="60" t="n">
        <f aca="false">C28*0.1</f>
        <v>150000</v>
      </c>
      <c r="D62" s="60" t="n">
        <f aca="false">D28*0.1</f>
        <v>150000</v>
      </c>
      <c r="E62" s="60" t="n">
        <f aca="false">E28*0.1</f>
        <v>150000</v>
      </c>
      <c r="F62" s="60" t="n">
        <f aca="false">F28*0.1</f>
        <v>150000</v>
      </c>
    </row>
    <row r="63" customFormat="false" ht="15" hidden="false" customHeight="false" outlineLevel="0" collapsed="false">
      <c r="A63" s="58" t="s">
        <v>145</v>
      </c>
      <c r="B63" s="59" t="n">
        <f aca="false">SUM(B61:B62)</f>
        <v>1041400</v>
      </c>
      <c r="C63" s="59" t="n">
        <f aca="false">SUM(C61:C62)</f>
        <v>1094400</v>
      </c>
      <c r="D63" s="59" t="n">
        <f aca="false">SUM(D61:D62)</f>
        <v>1234400</v>
      </c>
      <c r="E63" s="59" t="n">
        <f aca="false">SUM(E61:E62)</f>
        <v>1514400</v>
      </c>
      <c r="F63" s="59" t="n">
        <f aca="false">SUM(F61:F62)</f>
        <v>2339400</v>
      </c>
    </row>
    <row r="65" customFormat="false" ht="15" hidden="false" customHeight="false" outlineLevel="0" collapsed="false">
      <c r="A65" s="61" t="s">
        <v>146</v>
      </c>
      <c r="B65" s="62" t="n">
        <f aca="false">B7+B20+B28+B38+B51+B57+B63</f>
        <v>27375747</v>
      </c>
      <c r="C65" s="62" t="n">
        <f aca="false">C7+C20+C28+C38+C51+C57+C63</f>
        <v>32329547</v>
      </c>
      <c r="D65" s="62" t="n">
        <f aca="false">D7+D20+D28+D38+D51+D57+D63</f>
        <v>41994047</v>
      </c>
      <c r="E65" s="62" t="n">
        <f aca="false">E7+E20+E28+E38+E51+E57+E63</f>
        <v>64218047</v>
      </c>
      <c r="F65" s="62" t="n">
        <f aca="false">F7+F20+F28+F38+F51+F57+F63</f>
        <v>118425047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H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7" min="2" style="0" width="18"/>
  </cols>
  <sheetData>
    <row r="1" customFormat="false" ht="17.35" hidden="false" customHeight="false" outlineLevel="0" collapsed="false">
      <c r="A1" s="46" t="s">
        <v>147</v>
      </c>
    </row>
    <row r="2" customFormat="false" ht="15" hidden="false" customHeight="false" outlineLevel="0" collapsed="false">
      <c r="A2" s="63" t="s">
        <v>148</v>
      </c>
    </row>
    <row r="4" customFormat="false" ht="15" hidden="false" customHeight="false" outlineLevel="0" collapsed="false">
      <c r="A4" s="47" t="s">
        <v>25</v>
      </c>
      <c r="B4" s="47" t="s">
        <v>39</v>
      </c>
      <c r="C4" s="47" t="s">
        <v>40</v>
      </c>
      <c r="D4" s="47" t="s">
        <v>41</v>
      </c>
      <c r="E4" s="47" t="s">
        <v>42</v>
      </c>
      <c r="F4" s="47" t="s">
        <v>43</v>
      </c>
      <c r="G4" s="47" t="s">
        <v>149</v>
      </c>
    </row>
    <row r="5" customFormat="false" ht="15" hidden="false" customHeight="false" outlineLevel="0" collapsed="false">
      <c r="A5" s="54" t="s">
        <v>150</v>
      </c>
      <c r="B5" s="51"/>
      <c r="C5" s="51"/>
      <c r="D5" s="51"/>
      <c r="E5" s="51"/>
      <c r="F5" s="51"/>
      <c r="G5" s="51"/>
      <c r="H5" s="51"/>
    </row>
    <row r="6" customFormat="false" ht="15" hidden="false" customHeight="false" outlineLevel="0" collapsed="false">
      <c r="A6" s="48" t="s">
        <v>91</v>
      </c>
      <c r="B6" s="64" t="n">
        <f aca="false">Dashboard!$C$52*5500</f>
        <v>16500000</v>
      </c>
      <c r="C6" s="64" t="n">
        <f aca="false">B6</f>
        <v>16500000</v>
      </c>
      <c r="D6" s="64" t="n">
        <f aca="false">B6</f>
        <v>16500000</v>
      </c>
      <c r="E6" s="64" t="n">
        <f aca="false">B6</f>
        <v>16500000</v>
      </c>
      <c r="F6" s="64" t="n">
        <f aca="false">B6</f>
        <v>16500000</v>
      </c>
      <c r="H6" s="65" t="n">
        <f aca="false">SUM(B6:G6)</f>
        <v>82500000</v>
      </c>
    </row>
    <row r="7" customFormat="false" ht="15" hidden="false" customHeight="false" outlineLevel="0" collapsed="false">
      <c r="A7" s="48" t="s">
        <v>92</v>
      </c>
      <c r="B7" s="64" t="n">
        <f aca="false">Dashboard!$C$52*700</f>
        <v>2100000</v>
      </c>
      <c r="C7" s="64" t="n">
        <v>0</v>
      </c>
      <c r="D7" s="64" t="n">
        <v>0</v>
      </c>
      <c r="E7" s="64" t="n">
        <v>0</v>
      </c>
      <c r="F7" s="64" t="n">
        <v>0</v>
      </c>
      <c r="H7" s="65" t="n">
        <f aca="false">SUM(B7:G7)</f>
        <v>2100000</v>
      </c>
    </row>
    <row r="8" customFormat="false" ht="15" hidden="false" customHeight="false" outlineLevel="0" collapsed="false">
      <c r="A8" s="48" t="s">
        <v>69</v>
      </c>
      <c r="B8" s="64" t="n">
        <f aca="false">Dashboard!$C$52*300</f>
        <v>900000</v>
      </c>
      <c r="C8" s="64" t="n">
        <f aca="false">B8</f>
        <v>900000</v>
      </c>
      <c r="D8" s="64" t="n">
        <f aca="false">B8</f>
        <v>900000</v>
      </c>
      <c r="E8" s="64" t="n">
        <f aca="false">B8</f>
        <v>900000</v>
      </c>
      <c r="F8" s="64" t="n">
        <f aca="false">B8</f>
        <v>900000</v>
      </c>
      <c r="H8" s="65" t="n">
        <f aca="false">SUM(B8:G8)</f>
        <v>4500000</v>
      </c>
    </row>
    <row r="9" customFormat="false" ht="15" hidden="false" customHeight="false" outlineLevel="0" collapsed="false">
      <c r="A9" s="48" t="s">
        <v>93</v>
      </c>
      <c r="B9" s="64" t="n">
        <f aca="false">Dashboard!$C$52*90</f>
        <v>270000</v>
      </c>
      <c r="C9" s="64" t="n">
        <f aca="false">B9</f>
        <v>270000</v>
      </c>
      <c r="D9" s="64" t="n">
        <f aca="false">B9</f>
        <v>270000</v>
      </c>
      <c r="E9" s="64" t="n">
        <f aca="false">B9</f>
        <v>270000</v>
      </c>
      <c r="F9" s="64" t="n">
        <f aca="false">B9</f>
        <v>270000</v>
      </c>
      <c r="H9" s="65" t="n">
        <f aca="false">SUM(B9:G9)</f>
        <v>1350000</v>
      </c>
    </row>
    <row r="10" customFormat="false" ht="15" hidden="false" customHeight="false" outlineLevel="0" collapsed="false">
      <c r="A10" s="48" t="s">
        <v>76</v>
      </c>
      <c r="B10" s="64" t="n">
        <f aca="false">Dashboard!$C$52*30</f>
        <v>90000</v>
      </c>
      <c r="C10" s="64" t="n">
        <f aca="false">B10</f>
        <v>90000</v>
      </c>
      <c r="D10" s="64" t="n">
        <f aca="false">B10</f>
        <v>90000</v>
      </c>
      <c r="E10" s="64" t="n">
        <f aca="false">B10</f>
        <v>90000</v>
      </c>
      <c r="F10" s="64" t="n">
        <f aca="false">B10</f>
        <v>90000</v>
      </c>
      <c r="H10" s="65" t="n">
        <f aca="false">SUM(B10:G10)</f>
        <v>450000</v>
      </c>
    </row>
    <row r="11" customFormat="false" ht="15" hidden="false" customHeight="false" outlineLevel="0" collapsed="false">
      <c r="A11" s="48" t="s">
        <v>94</v>
      </c>
      <c r="B11" s="64" t="n">
        <f aca="false">Dashboard!$C$52*624</f>
        <v>1872000</v>
      </c>
      <c r="C11" s="64" t="n">
        <f aca="false">B11</f>
        <v>1872000</v>
      </c>
      <c r="D11" s="64" t="n">
        <f aca="false">B11</f>
        <v>1872000</v>
      </c>
      <c r="E11" s="64" t="n">
        <f aca="false">B11</f>
        <v>1872000</v>
      </c>
      <c r="F11" s="64" t="n">
        <f aca="false">B11</f>
        <v>1872000</v>
      </c>
      <c r="H11" s="65" t="n">
        <f aca="false">SUM(B11:G11)</f>
        <v>9360000</v>
      </c>
    </row>
    <row r="12" customFormat="false" ht="15" hidden="false" customHeight="false" outlineLevel="0" collapsed="false">
      <c r="A12" s="48" t="s">
        <v>84</v>
      </c>
      <c r="B12" s="64" t="n">
        <f aca="false">Dashboard!$C$52*76.8</f>
        <v>230400</v>
      </c>
      <c r="C12" s="64" t="n">
        <f aca="false">B12</f>
        <v>230400</v>
      </c>
      <c r="D12" s="64" t="n">
        <f aca="false">B12</f>
        <v>230400</v>
      </c>
      <c r="E12" s="64" t="n">
        <f aca="false">B12</f>
        <v>230400</v>
      </c>
      <c r="F12" s="64" t="n">
        <f aca="false">B12</f>
        <v>230400</v>
      </c>
      <c r="H12" s="65" t="n">
        <f aca="false">SUM(B12:G12)</f>
        <v>1152000</v>
      </c>
    </row>
    <row r="13" customFormat="false" ht="15" hidden="false" customHeight="false" outlineLevel="0" collapsed="false">
      <c r="A13" s="54" t="s">
        <v>151</v>
      </c>
      <c r="B13" s="55" t="n">
        <f aca="false">SUM(B6:B12)</f>
        <v>21962400</v>
      </c>
      <c r="C13" s="55" t="n">
        <f aca="false">SUM(C6:C12)</f>
        <v>19862400</v>
      </c>
      <c r="D13" s="55" t="n">
        <f aca="false">SUM(D6:D12)</f>
        <v>19862400</v>
      </c>
      <c r="E13" s="55" t="n">
        <f aca="false">SUM(E6:E12)</f>
        <v>19862400</v>
      </c>
      <c r="F13" s="55" t="n">
        <f aca="false">SUM(F6:F12)</f>
        <v>19862400</v>
      </c>
      <c r="G13" s="55" t="n">
        <f aca="false">SUM(G6:G12)</f>
        <v>0</v>
      </c>
      <c r="H13" s="55" t="n">
        <f aca="false">SUM(H6:H12)</f>
        <v>101412000</v>
      </c>
    </row>
    <row r="15" customFormat="false" ht="15" hidden="false" customHeight="false" outlineLevel="0" collapsed="false">
      <c r="A15" s="56" t="s">
        <v>152</v>
      </c>
      <c r="B15" s="57"/>
      <c r="C15" s="57"/>
      <c r="D15" s="57"/>
      <c r="E15" s="57"/>
      <c r="F15" s="57"/>
      <c r="G15" s="57"/>
      <c r="H15" s="57"/>
    </row>
    <row r="16" customFormat="false" ht="15" hidden="false" customHeight="false" outlineLevel="0" collapsed="false">
      <c r="A16" s="48" t="s">
        <v>153</v>
      </c>
      <c r="B16" s="66" t="n">
        <f aca="false">Dashboard!$C$54</f>
        <v>6269700</v>
      </c>
      <c r="C16" s="66" t="n">
        <v>0</v>
      </c>
      <c r="D16" s="66" t="n">
        <v>0</v>
      </c>
      <c r="E16" s="66" t="n">
        <v>0</v>
      </c>
      <c r="F16" s="66" t="n">
        <v>0</v>
      </c>
      <c r="H16" s="67" t="n">
        <f aca="false">SUM(B16:G16)</f>
        <v>6269700</v>
      </c>
    </row>
    <row r="17" customFormat="false" ht="15" hidden="false" customHeight="false" outlineLevel="0" collapsed="false">
      <c r="A17" s="48" t="s">
        <v>154</v>
      </c>
      <c r="B17" s="66" t="n">
        <f aca="false">Dashboard!$C$55/5</f>
        <v>1782800</v>
      </c>
      <c r="C17" s="66" t="n">
        <f aca="false">B17</f>
        <v>1782800</v>
      </c>
      <c r="D17" s="66" t="n">
        <f aca="false">B17</f>
        <v>1782800</v>
      </c>
      <c r="E17" s="66" t="n">
        <f aca="false">B17</f>
        <v>1782800</v>
      </c>
      <c r="F17" s="66" t="n">
        <f aca="false">B17</f>
        <v>1782800</v>
      </c>
      <c r="H17" s="67" t="n">
        <f aca="false">SUM(B17:G17)</f>
        <v>8914000</v>
      </c>
    </row>
    <row r="18" customFormat="false" ht="15" hidden="false" customHeight="false" outlineLevel="0" collapsed="false">
      <c r="A18" s="48" t="s">
        <v>155</v>
      </c>
      <c r="B18" s="66" t="n">
        <f aca="false">Dashboard!$C$56</f>
        <v>1500000</v>
      </c>
      <c r="C18" s="66" t="n">
        <v>0</v>
      </c>
      <c r="D18" s="66" t="n">
        <v>0</v>
      </c>
      <c r="E18" s="66" t="n">
        <v>0</v>
      </c>
      <c r="F18" s="66" t="n">
        <v>0</v>
      </c>
      <c r="H18" s="67" t="n">
        <f aca="false">SUM(B18:G18)</f>
        <v>1500000</v>
      </c>
    </row>
    <row r="19" customFormat="false" ht="15" hidden="false" customHeight="false" outlineLevel="0" collapsed="false">
      <c r="A19" s="48" t="s">
        <v>156</v>
      </c>
      <c r="B19" s="66" t="n">
        <f aca="false">Dashboard!$C$57</f>
        <v>1099000</v>
      </c>
      <c r="C19" s="66" t="n">
        <v>0</v>
      </c>
      <c r="D19" s="66" t="n">
        <v>0</v>
      </c>
      <c r="E19" s="66" t="n">
        <v>0</v>
      </c>
      <c r="F19" s="66" t="n">
        <v>0</v>
      </c>
      <c r="H19" s="67" t="n">
        <f aca="false">SUM(B19:G19)</f>
        <v>1099000</v>
      </c>
    </row>
    <row r="20" customFormat="false" ht="15" hidden="false" customHeight="false" outlineLevel="0" collapsed="false">
      <c r="A20" s="48" t="s">
        <v>157</v>
      </c>
      <c r="B20" s="66" t="n">
        <f aca="false">Dashboard!$C$58</f>
        <v>7851647</v>
      </c>
      <c r="C20" s="66" t="n">
        <v>0</v>
      </c>
      <c r="D20" s="66" t="n">
        <v>0</v>
      </c>
      <c r="E20" s="66" t="n">
        <v>0</v>
      </c>
      <c r="F20" s="66" t="n">
        <v>0</v>
      </c>
      <c r="H20" s="67" t="n">
        <f aca="false">SUM(B20:G20)</f>
        <v>7851647</v>
      </c>
    </row>
    <row r="21" customFormat="false" ht="15" hidden="false" customHeight="false" outlineLevel="0" collapsed="false">
      <c r="A21" s="48" t="s">
        <v>158</v>
      </c>
      <c r="B21" s="66" t="n">
        <f aca="false">Dashboard!$C$59</f>
        <v>700000</v>
      </c>
      <c r="C21" s="66" t="n">
        <v>0</v>
      </c>
      <c r="D21" s="66" t="n">
        <v>0</v>
      </c>
      <c r="E21" s="66" t="n">
        <v>0</v>
      </c>
      <c r="F21" s="66" t="n">
        <v>0</v>
      </c>
      <c r="H21" s="67" t="n">
        <f aca="false">SUM(B21:G21)</f>
        <v>700000</v>
      </c>
    </row>
    <row r="22" customFormat="false" ht="15" hidden="false" customHeight="false" outlineLevel="0" collapsed="false">
      <c r="A22" s="48" t="s">
        <v>55</v>
      </c>
      <c r="B22" s="66" t="n">
        <f aca="false">Dashboard!$C$60/5</f>
        <v>208280</v>
      </c>
      <c r="C22" s="66" t="n">
        <f aca="false">B22</f>
        <v>208280</v>
      </c>
      <c r="D22" s="66" t="n">
        <f aca="false">B22</f>
        <v>208280</v>
      </c>
      <c r="E22" s="66" t="n">
        <f aca="false">B22</f>
        <v>208280</v>
      </c>
      <c r="F22" s="66" t="n">
        <f aca="false">B22</f>
        <v>208280</v>
      </c>
      <c r="H22" s="67" t="n">
        <f aca="false">SUM(B22:G22)</f>
        <v>1041400</v>
      </c>
    </row>
    <row r="23" customFormat="false" ht="15" hidden="false" customHeight="false" outlineLevel="0" collapsed="false">
      <c r="A23" s="56" t="s">
        <v>159</v>
      </c>
      <c r="B23" s="68" t="n">
        <f aca="false">SUM(B16:B22)</f>
        <v>19411427</v>
      </c>
      <c r="C23" s="68" t="n">
        <f aca="false">SUM(C16:C22)</f>
        <v>1991080</v>
      </c>
      <c r="D23" s="68" t="n">
        <f aca="false">SUM(D16:D22)</f>
        <v>1991080</v>
      </c>
      <c r="E23" s="68" t="n">
        <f aca="false">SUM(E16:E22)</f>
        <v>1991080</v>
      </c>
      <c r="F23" s="68" t="n">
        <f aca="false">SUM(F16:F22)</f>
        <v>1991080</v>
      </c>
      <c r="G23" s="68" t="n">
        <f aca="false">SUM(G16:G22)</f>
        <v>0</v>
      </c>
      <c r="H23" s="68" t="n">
        <f aca="false">SUM(H16:H22)</f>
        <v>27375747</v>
      </c>
    </row>
    <row r="24" customFormat="false" ht="15" hidden="false" customHeight="false" outlineLevel="0" collapsed="false">
      <c r="A24" s="61" t="s">
        <v>160</v>
      </c>
      <c r="B24" s="62" t="n">
        <f aca="false">B13-B23</f>
        <v>2550973</v>
      </c>
      <c r="C24" s="62" t="n">
        <f aca="false">C13-C23</f>
        <v>17871320</v>
      </c>
      <c r="D24" s="62" t="n">
        <f aca="false">D13-D23</f>
        <v>17871320</v>
      </c>
      <c r="E24" s="62" t="n">
        <f aca="false">E13-E23</f>
        <v>17871320</v>
      </c>
      <c r="F24" s="62" t="n">
        <f aca="false">F13-F23</f>
        <v>17871320</v>
      </c>
      <c r="G24" s="62" t="n">
        <f aca="false">G13-G23</f>
        <v>0</v>
      </c>
      <c r="H24" s="62" t="n">
        <f aca="false">H13-H23</f>
        <v>74036253</v>
      </c>
    </row>
    <row r="26" customFormat="false" ht="15" hidden="false" customHeight="false" outlineLevel="0" collapsed="false">
      <c r="A26" s="36" t="s">
        <v>161</v>
      </c>
      <c r="B26" s="64" t="n">
        <f aca="false">B13</f>
        <v>21962400</v>
      </c>
      <c r="C26" s="64" t="n">
        <f aca="false">B26+C13</f>
        <v>41824800</v>
      </c>
      <c r="D26" s="64" t="n">
        <f aca="false">C26+D13</f>
        <v>61687200</v>
      </c>
      <c r="E26" s="64" t="n">
        <f aca="false">D26+E13</f>
        <v>81549600</v>
      </c>
      <c r="F26" s="64" t="n">
        <f aca="false">E26+F13</f>
        <v>101412000</v>
      </c>
    </row>
    <row r="27" customFormat="false" ht="15" hidden="false" customHeight="false" outlineLevel="0" collapsed="false">
      <c r="A27" s="36" t="s">
        <v>162</v>
      </c>
      <c r="B27" s="64" t="n">
        <f aca="false">B24</f>
        <v>2550973</v>
      </c>
      <c r="C27" s="64" t="n">
        <f aca="false">B27+C24</f>
        <v>20422293</v>
      </c>
      <c r="D27" s="64" t="n">
        <f aca="false">C27+D24</f>
        <v>38293613</v>
      </c>
      <c r="E27" s="64" t="n">
        <f aca="false">D27+E24</f>
        <v>56164933</v>
      </c>
      <c r="F27" s="64" t="n">
        <f aca="false">E27+F24</f>
        <v>74036253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2026-03-05T16:18:32Z</dcterms:created>
  <dc:creator>openpyxl</dc:creator>
  <dc:description/>
  <dc:language>en-US</dc:language>
  <cp:lastModifiedBy/>
  <dcterms:modified xsi:type="dcterms:W3CDTF">2026-03-05T16:18:33Z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