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ersonnel Cost" sheetId="2" state="visible" r:id="rId4"/>
    <sheet name="Infrastructure &amp; Equipment" sheetId="3" state="visible" r:id="rId5"/>
    <sheet name="Manufacturing Cost" sheetId="4" state="visible" r:id="rId6"/>
    <sheet name="Revenue" sheetId="5" state="visible" r:id="rId7"/>
    <sheet name="Profitability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<sst xmlns="http://schemas.openxmlformats.org/spreadsheetml/2006/main" count="310" uniqueCount="190">
  <si>
    <t xml:space="preserve">Input Parameters</t>
  </si>
  <si>
    <t xml:space="preserve">Meter Rollout:</t>
  </si>
  <si>
    <t xml:space="preserve">10,000 Meters</t>
  </si>
  <si>
    <t xml:space="preserve">Hardware Price</t>
  </si>
  <si>
    <t xml:space="preserve">Per Unit</t>
  </si>
  <si>
    <t xml:space="preserve">Installation Fee</t>
  </si>
  <si>
    <t xml:space="preserve">Manufacturing Cost</t>
  </si>
  <si>
    <t xml:space="preserve">Personnel Cost</t>
  </si>
  <si>
    <t xml:space="preserve">/ Year</t>
  </si>
  <si>
    <t xml:space="preserve">Profit Margins</t>
  </si>
  <si>
    <t xml:space="preserve">Infrastructure Cost</t>
  </si>
  <si>
    <t xml:space="preserve">Gross Margin</t>
  </si>
  <si>
    <t xml:space="preserve">Oper. Margin</t>
  </si>
  <si>
    <t xml:space="preserve">Net Margin</t>
  </si>
  <si>
    <t xml:space="preserve">Service Revenue</t>
  </si>
  <si>
    <t xml:space="preserve">Payback Period</t>
  </si>
  <si>
    <t xml:space="preserve">Equipment</t>
  </si>
  <si>
    <t xml:space="preserve">One-Time</t>
  </si>
  <si>
    <t xml:space="preserve">Days</t>
  </si>
  <si>
    <t xml:space="preserve">DATA AREA</t>
  </si>
  <si>
    <t xml:space="preserve">3,000 Meters</t>
  </si>
  <si>
    <t xml:space="preserve">5,000 Meters</t>
  </si>
  <si>
    <t xml:space="preserve">20,000 Meters</t>
  </si>
  <si>
    <t xml:space="preserve">50,000 Meters</t>
  </si>
  <si>
    <t xml:space="preserve">Index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</si>
  <si>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</si>
  <si>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</si>
  <si>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</si>
  <si>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</si>
  <si>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</si>
  <si>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</si>
  <si>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EBITDA</t>
  </si>
  <si>
    <t xml:space="preserve">Net Profit</t>
  </si>
  <si>
    <t xml:space="preserve">Mfg Cost</t>
  </si>
  <si>
    <t xml:space="preserve">Oper Cost</t>
  </si>
  <si>
    <t xml:space="preserve">Total Costs</t>
  </si>
  <si>
    <t xml:space="preserve">Cum Rev</t>
  </si>
  <si>
    <t xml:space="preserve">Cum Profit</t>
  </si>
  <si>
    <t xml:space="preserve">Operating Costs</t>
  </si>
  <si>
    <t xml:space="preserve">Manufacturing</t>
  </si>
  <si>
    <t xml:space="preserve">Oper Margin</t>
  </si>
  <si>
    <t xml:space="preserve">Payback Days</t>
  </si>
  <si>
    <t xml:space="preserve">Resource Type</t>
  </si>
  <si>
    <t xml:space="preserve">Position</t>
  </si>
  <si>
    <t xml:space="preserve">Monthly Salary (N$)</t>
  </si>
  <si>
    <t xml:space="preserve">Annual Salary (N$)</t>
  </si>
  <si>
    <t xml:space="preserve">LEADERSHIP &amp; MANAGEMENT</t>
  </si>
  <si>
    <t xml:space="preserve">Chief Executive Officer (CEO)</t>
  </si>
  <si>
    <t xml:space="preserve">Chief Operations Officer (COO)</t>
  </si>
  <si>
    <t xml:space="preserve">Chief Financial Officer (CFO)</t>
  </si>
  <si>
    <t xml:space="preserve">Chief Technology Officer (CTO)</t>
  </si>
  <si>
    <t xml:space="preserve">Head of Business Development</t>
  </si>
  <si>
    <t xml:space="preserve">Head of Human Resources</t>
  </si>
  <si>
    <t xml:space="preserve">Legal &amp; Compliance Officer</t>
  </si>
  <si>
    <t xml:space="preserve">Operations Manager</t>
  </si>
  <si>
    <t xml:space="preserve">Subtotal – LEADERSHIP</t>
  </si>
  <si>
    <t xml:space="preserve">Field Support Technicians</t>
  </si>
  <si>
    <t xml:space="preserve">Installation Team Lead</t>
  </si>
  <si>
    <t xml:space="preserve">OPERATIONS &amp; FIELD SERVICES</t>
  </si>
  <si>
    <t xml:space="preserve">Logistics Coordinator</t>
  </si>
  <si>
    <t xml:space="preserve">Engineering Manager</t>
  </si>
  <si>
    <t xml:space="preserve">Quality Assurance Engineers</t>
  </si>
  <si>
    <t xml:space="preserve">Firmware/Software Engineers</t>
  </si>
  <si>
    <t xml:space="preserve">Hardware Engineers</t>
  </si>
  <si>
    <t xml:space="preserve">Subtotal – OPERATIONS</t>
  </si>
  <si>
    <t xml:space="preserve">Customer Support Manager</t>
  </si>
  <si>
    <t xml:space="preserve">Customer Support Agents</t>
  </si>
  <si>
    <t xml:space="preserve">ENGINEERING &amp; QUALITY</t>
  </si>
  <si>
    <t xml:space="preserve">Technical Support Specialists</t>
  </si>
  <si>
    <t xml:space="preserve">Sales Manager</t>
  </si>
  <si>
    <t xml:space="preserve">Sales Representatives</t>
  </si>
  <si>
    <t xml:space="preserve">Marketing Coordinator</t>
  </si>
  <si>
    <t xml:space="preserve">Finance Manager</t>
  </si>
  <si>
    <t xml:space="preserve">Subtotal – ENGINEERING</t>
  </si>
  <si>
    <t xml:space="preserve">Accountant</t>
  </si>
  <si>
    <t xml:space="preserve">Administrative Assistant</t>
  </si>
  <si>
    <t xml:space="preserve">CUSTOMER SUCCESS &amp; SUPPORT</t>
  </si>
  <si>
    <t xml:space="preserve">Subtotal – CUSTOMER</t>
  </si>
  <si>
    <t xml:space="preserve">SALES &amp; MARKETING</t>
  </si>
  <si>
    <t xml:space="preserve">Subtotal – SALES</t>
  </si>
  <si>
    <t xml:space="preserve">FINANCE &amp; ADMINISTRATION</t>
  </si>
  <si>
    <t xml:space="preserve">Subtotal – FINANCE</t>
  </si>
  <si>
    <t xml:space="preserve">TOTAL PERSONNEL</t>
  </si>
  <si>
    <t xml:space="preserve">ANNUAL PERSONNEL COST BY SCENARIO</t>
  </si>
  <si>
    <t xml:space="preserve">Unit Cost (N$/year)</t>
  </si>
  <si>
    <t xml:space="preserve">LEADERSHIP Subtotal</t>
  </si>
  <si>
    <t xml:space="preserve">OPERATIONS Subtotal</t>
  </si>
  <si>
    <t xml:space="preserve">ENGINEERING Subtotal</t>
  </si>
  <si>
    <t xml:space="preserve">CUSTOMER Subtotal</t>
  </si>
  <si>
    <t xml:space="preserve">SALES Subtotal</t>
  </si>
  <si>
    <t xml:space="preserve">FINANCE Subtotal</t>
  </si>
  <si>
    <t xml:space="preserve">TOTAL ANNUAL PERSONNEL COST</t>
  </si>
  <si>
    <t xml:space="preserve">Infrastructure Costs (Annual)</t>
  </si>
  <si>
    <t xml:space="preserve">Cost Category</t>
  </si>
  <si>
    <t xml:space="preserve">Unit Cost</t>
  </si>
  <si>
    <t xml:space="preserve">Data Storage &amp; Transmission</t>
  </si>
  <si>
    <t xml:space="preserve">N$48/meter</t>
  </si>
  <si>
    <t xml:space="preserve">Office Space Rental</t>
  </si>
  <si>
    <t xml:space="preserve">N$200/sq m</t>
  </si>
  <si>
    <t xml:space="preserve">Utilities &amp; Connectivity</t>
  </si>
  <si>
    <t xml:space="preserve">Lump sum</t>
  </si>
  <si>
    <t xml:space="preserve">Annual Infrastructure Total</t>
  </si>
  <si>
    <t xml:space="preserve">Equipment Costs (One-Time Investment)</t>
  </si>
  <si>
    <t xml:space="preserve">Equipment Type</t>
  </si>
  <si>
    <t xml:space="preserve">Service Vehicles</t>
  </si>
  <si>
    <t xml:space="preserve">N$250,000</t>
  </si>
  <si>
    <t xml:space="preserve">Field Test Equipment Kits</t>
  </si>
  <si>
    <t xml:space="preserve">N$85,000</t>
  </si>
  <si>
    <t xml:space="preserve">Spare Parts Inventory</t>
  </si>
  <si>
    <t xml:space="preserve">N$4,495 × 2%</t>
  </si>
  <si>
    <t xml:space="preserve">Workstations</t>
  </si>
  <si>
    <t xml:space="preserve">N$15,000</t>
  </si>
  <si>
    <t xml:space="preserve">Network Monitoring Tools</t>
  </si>
  <si>
    <t xml:space="preserve">N$120,000</t>
  </si>
  <si>
    <t xml:space="preserve">Office Equipment &amp; Furniture</t>
  </si>
  <si>
    <t xml:space="preserve">Per employee</t>
  </si>
  <si>
    <t xml:space="preserve">Server/Cloud Infrastructure</t>
  </si>
  <si>
    <t xml:space="preserve">Total Equipment Investment</t>
  </si>
  <si>
    <t xml:space="preserve">Volume Discount Structure</t>
  </si>
  <si>
    <t xml:space="preserve">Volume Tier</t>
  </si>
  <si>
    <t xml:space="preserve">Discount</t>
  </si>
  <si>
    <t xml:space="preserve">Cost per Meter (N$)</t>
  </si>
  <si>
    <t xml:space="preserve">Calculation Basis</t>
  </si>
  <si>
    <t xml:space="preserve">Base (0-9,999 meters)</t>
  </si>
  <si>
    <t xml:space="preserve">N$2,000 per meter</t>
  </si>
  <si>
    <t xml:space="preserve">10,000-19,999 meters</t>
  </si>
  <si>
    <t xml:space="preserve">15% reduction</t>
  </si>
  <si>
    <t xml:space="preserve">20,000-49,999 meters</t>
  </si>
  <si>
    <t xml:space="preserve">Additional 15%</t>
  </si>
  <si>
    <t xml:space="preserve">50,000+ meters</t>
  </si>
  <si>
    <t xml:space="preserve">Manufacturing Cost by Scenario</t>
  </si>
  <si>
    <t xml:space="preserve">Scenario</t>
  </si>
  <si>
    <t xml:space="preserve">Meters</t>
  </si>
  <si>
    <t xml:space="preserve">Total Manufacturing Cost (N$)</t>
  </si>
  <si>
    <t xml:space="preserve">Revenue Model Assumptions</t>
  </si>
  <si>
    <t xml:space="preserve">Revenue Stream</t>
  </si>
  <si>
    <t xml:space="preserve">Rate</t>
  </si>
  <si>
    <t xml:space="preserve">Adoption Rate</t>
  </si>
  <si>
    <t xml:space="preserve">Annual Amount per Meter (N$)</t>
  </si>
  <si>
    <t xml:space="preserve">Meter Hardware Sale</t>
  </si>
  <si>
    <t xml:space="preserve">N$5,500 (one-time)</t>
  </si>
  <si>
    <t xml:space="preserve">One-time revenue per installed meter</t>
  </si>
  <si>
    <t xml:space="preserve">Meter Installation Fee</t>
  </si>
  <si>
    <t xml:space="preserve">N$700 (one-time)</t>
  </si>
  <si>
    <t xml:space="preserve">One-time fee per new meter installation</t>
  </si>
  <si>
    <t xml:space="preserve">Meter Maintenance</t>
  </si>
  <si>
    <t xml:space="preserve">N$500 / year</t>
  </si>
  <si>
    <t xml:space="preserve">Annual maintenance fee on installed meters</t>
  </si>
  <si>
    <t xml:space="preserve">Wi-Fi Subscription</t>
  </si>
  <si>
    <t xml:space="preserve">N$25 / month</t>
  </si>
  <si>
    <t xml:space="preserve">30% of installed base</t>
  </si>
  <si>
    <t xml:space="preserve">Recurring</t>
  </si>
  <si>
    <t xml:space="preserve">SMS Notifications</t>
  </si>
  <si>
    <t xml:space="preserve">N$2.50 / SMS</t>
  </si>
  <si>
    <t xml:space="preserve">50% adoption, 2 SMS/month</t>
  </si>
  <si>
    <t xml:space="preserve">Mobile App Subscription</t>
  </si>
  <si>
    <t xml:space="preserve">N$65 / month</t>
  </si>
  <si>
    <t xml:space="preserve">80% of installed base</t>
  </si>
  <si>
    <t xml:space="preserve">Real Estate Management Platform</t>
  </si>
  <si>
    <t xml:space="preserve">N$3,200 / block / month</t>
  </si>
  <si>
    <t xml:space="preserve">1 block per 500 meters</t>
  </si>
  <si>
    <t xml:space="preserve">Total Year 1 Revenue per Meter</t>
  </si>
  <si>
    <t xml:space="preserve">Revenue by Year</t>
  </si>
  <si>
    <t xml:space="preserve">Year</t>
  </si>
  <si>
    <t xml:space="preserve">5-Year Total</t>
  </si>
  <si>
    <t xml:space="preserve">Revenue &amp; Profitability Analysis (Year 1)</t>
  </si>
  <si>
    <t xml:space="preserve">Metric</t>
  </si>
  <si>
    <t xml:space="preserve">REVENUE (N$)</t>
  </si>
  <si>
    <t xml:space="preserve">Hardware Sales</t>
  </si>
  <si>
    <t xml:space="preserve">Installation Fees</t>
  </si>
  <si>
    <t xml:space="preserve">Service Revenues</t>
  </si>
  <si>
    <t xml:space="preserve">Total Revenue</t>
  </si>
  <si>
    <t xml:space="preserve">MANUFACTURING COST (N$)</t>
  </si>
  <si>
    <t xml:space="preserve">Cost per Meter</t>
  </si>
  <si>
    <t xml:space="preserve">Total Manufacturing Cost</t>
  </si>
  <si>
    <t xml:space="preserve">OPERATING COSTS (N$)</t>
  </si>
  <si>
    <t xml:space="preserve">EQUIPMENT INVESTMENT (N$)</t>
  </si>
  <si>
    <t xml:space="preserve">PROFITABILITY (N$)</t>
  </si>
  <si>
    <t xml:space="preserve">Gross Profit</t>
  </si>
  <si>
    <t xml:space="preserve">Operating Profit (EBITDA)</t>
  </si>
  <si>
    <t xml:space="preserve">MARGINS</t>
  </si>
  <si>
    <t xml:space="preserve">Gross Margin %</t>
  </si>
  <si>
    <t xml:space="preserve">Operating Margin %</t>
  </si>
  <si>
    <t xml:space="preserve">Net Margin %</t>
  </si>
  <si>
    <t xml:space="preserve">5-YEAR PROJECTIONS</t>
  </si>
  <si>
    <t xml:space="preserve">5-Year Total Revenue</t>
  </si>
  <si>
    <t xml:space="preserve">5-Year Total Costs</t>
  </si>
  <si>
    <t xml:space="preserve">5-Year Net Profit</t>
  </si>
  <si>
    <t xml:space="preserve">5-Year ROI %</t>
  </si>
  <si>
    <t xml:space="preserve">5-Year Net Margin %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</si>
</sst>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N$ &quot;#,##0"/>
    <numFmt numFmtId="166" formatCode="0.0%"/>
    <numFmt numFmtId="167" formatCode="0"/>
    <numFmt numFmtId="168" formatCode="&quot;N$&quot;#,##0"/>
    <numFmt numFmtId="169" formatCode="&quot;N$&quot;#,##0.00"/>
    <numFmt numFmtId="170" formatCode="[$$-409]#,##0.00;[RED]\-[$$-409]#,##0.00"/>
    <numFmt numFmtId="171" formatCode="General"/>
    <numFmt numFmtId="172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b val="true"/>
      <sz val="10"/>
      <color rgb="FF37474F"/>
      <name val="Calibri"/>
      <family val="0"/>
      <charset val="1"/>
    </font>
    <font>
      <sz val="9"/>
      <color rgb="FF78909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sz val="10"/>
      <color rgb="FF37474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28"/>
      <color rgb="FF1565C0"/>
      <name val="Calibri"/>
      <family val="0"/>
      <charset val="1"/>
    </font>
    <font>
      <b val="true"/>
      <sz val="12"/>
      <color rgb="FF546E7A"/>
      <name val="Calibri"/>
      <family val="0"/>
      <charset val="1"/>
    </font>
    <font>
      <sz val="7"/>
      <color rgb="FFBDBDB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8000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002060"/>
      </patternFill>
    </fill>
    <fill>
      <patternFill patternType="solid">
        <fgColor rgb="FFF0F4F8"/>
        <bgColor rgb="FFF9F9F9"/>
      </patternFill>
    </fill>
    <fill>
      <patternFill patternType="solid">
        <fgColor rgb="FF1565C0"/>
        <bgColor rgb="FF2E75B6"/>
      </patternFill>
    </fill>
    <fill>
      <patternFill patternType="solid">
        <fgColor rgb="FFFFFFFF"/>
        <bgColor rgb="FFF9F9F9"/>
      </patternFill>
    </fill>
    <fill>
      <patternFill patternType="solid">
        <fgColor rgb="FF4CAF50"/>
        <bgColor rgb="FF548235"/>
      </patternFill>
    </fill>
    <fill>
      <patternFill patternType="solid">
        <fgColor rgb="FFFFC107"/>
        <bgColor rgb="FFFF9800"/>
      </patternFill>
    </fill>
    <fill>
      <patternFill patternType="solid">
        <fgColor rgb="FFE3F2FD"/>
        <bgColor rgb="FFF0F4F8"/>
      </patternFill>
    </fill>
    <fill>
      <patternFill patternType="solid">
        <fgColor rgb="FFD6E4F0"/>
        <bgColor rgb="FFE0E0E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0E0E0"/>
      </patternFill>
    </fill>
    <fill>
      <patternFill patternType="solid">
        <fgColor rgb="FFFCE4D6"/>
        <bgColor rgb="FFFFF2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medium">
        <color rgb="FF0D47A1"/>
      </left>
      <right style="thin">
        <color rgb="FFE0E0E0"/>
      </right>
      <top style="medium">
        <color rgb="FF0D47A1"/>
      </top>
      <bottom style="medium">
        <color rgb="FF0D47A1"/>
      </bottom>
      <diagonal/>
    </border>
    <border diagonalUp="false" diagonalDown="false">
      <left style="thin">
        <color rgb="FFBDBDBD"/>
      </left>
      <right style="thin">
        <color rgb="FFE0E0E0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1B2A4A"/>
      </top>
      <bottom style="double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2E7D32"/>
      <rgbColor rgb="FFBDBDBD"/>
      <rgbColor rgb="FF878787"/>
      <rgbColor rgb="FF9999FF"/>
      <rgbColor rgb="FFE53935"/>
      <rgbColor rgb="FFFFF2CC"/>
      <rgbColor rgb="FFE3F2FD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0F4F8"/>
      <rgbColor rgb="FFE2EFDA"/>
      <rgbColor rgb="FFF9F9F9"/>
      <rgbColor rgb="FF90CAF9"/>
      <rgbColor rgb="FFD6E4F0"/>
      <rgbColor rgb="FFE0E0E0"/>
      <rgbColor rgb="FFFCE4D6"/>
      <rgbColor rgb="FF2E75B6"/>
      <rgbColor rgb="FF33CCCC"/>
      <rgbColor rgb="FF81C784"/>
      <rgbColor rgb="FFFFC107"/>
      <rgbColor rgb="FFFF9800"/>
      <rgbColor rgb="FFED7D31"/>
      <rgbColor rgb="FF546E7A"/>
      <rgbColor rgb="FF78909C"/>
      <rgbColor rgb="FF002060"/>
      <rgbColor rgb="FF4CAF50"/>
      <rgbColor rgb="FF003300"/>
      <rgbColor rgb="FF37474F"/>
      <rgbColor rgb="FF993300"/>
      <rgbColor rgb="FF993366"/>
      <rgbColor rgb="FF0D47A1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Revenue &amp; Profit (N$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Dashboard!$D$61:$H$61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Dashboard!$D$62:$H$62</c:f>
              <c:numCache>
                <c:formatCode>"N$"#,##0.00</c:formatCode>
                <c:ptCount val="5"/>
                <c:pt idx="0">
                  <c:v>70458000</c:v>
                </c:pt>
                <c:pt idx="1">
                  <c:v>8458000</c:v>
                </c:pt>
                <c:pt idx="2">
                  <c:v>8458000</c:v>
                </c:pt>
                <c:pt idx="3">
                  <c:v>8458000</c:v>
                </c:pt>
                <c:pt idx="4">
                  <c:v>8458000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Dashboard!$D$61:$H$61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Dashboard!$D$63:$H$63</c:f>
              <c:numCache>
                <c:formatCode>[$$-409]#,##0.00;[RED]\-[$$-409]#,##0.00</c:formatCode>
                <c:ptCount val="5"/>
                <c:pt idx="0">
                  <c:v>47477200</c:v>
                </c:pt>
                <c:pt idx="1">
                  <c:v>2477200</c:v>
                </c:pt>
                <c:pt idx="2">
                  <c:v>2477200</c:v>
                </c:pt>
                <c:pt idx="3">
                  <c:v>2477200</c:v>
                </c:pt>
                <c:pt idx="4">
                  <c:v>2477200</c:v>
                </c:pt>
              </c:numCache>
            </c:numRef>
          </c:val>
        </c:ser>
        <c:ser>
          <c:idx val="2"/>
          <c:order val="2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90caf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Dashboard!$D$61:$H$61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Dashboard!$D$64:$H$64</c:f>
              <c:numCache>
                <c:formatCode>[$$-409]#,##0.00;[RED]\-[$$-409]#,##0.00</c:formatCode>
                <c:ptCount val="5"/>
                <c:pt idx="0">
                  <c:v>44298200</c:v>
                </c:pt>
                <c:pt idx="1">
                  <c:v>2477200</c:v>
                </c:pt>
                <c:pt idx="2">
                  <c:v>2477200</c:v>
                </c:pt>
                <c:pt idx="3">
                  <c:v>2477200</c:v>
                </c:pt>
                <c:pt idx="4">
                  <c:v>2477200</c:v>
                </c:pt>
              </c:numCache>
            </c:numRef>
          </c:val>
        </c:ser>
        <c:gapWidth val="150"/>
        <c:overlap val="0"/>
        <c:axId val="733662"/>
        <c:axId val="72071496"/>
      </c:barChart>
      <c:lineChart>
        <c:grouping val="standard"/>
        <c:varyColors val="0"/>
        <c:ser>
          <c:idx val="3"/>
          <c:order val="3"/>
          <c:tx>
            <c:strRef>
              <c:f>"Revenue Trend"</c:f>
              <c:strCache>
                <c:ptCount val="1"/>
                <c:pt idx="0">
                  <c:v>Revenue Trend</c:v>
                </c:pt>
              </c:strCache>
            </c:strRef>
          </c:tx>
          <c:spPr>
            <a:solidFill>
              <a:srgbClr val="4caf50"/>
            </a:solidFill>
            <a:ln w="2484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Dashboard!$D$61:$H$61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Dashboard!$D$62:$H$62</c:f>
              <c:numCache>
                <c:formatCode>"N$"#,##0.00</c:formatCode>
                <c:ptCount val="5"/>
                <c:pt idx="0">
                  <c:v>70458000</c:v>
                </c:pt>
                <c:pt idx="1">
                  <c:v>8458000</c:v>
                </c:pt>
                <c:pt idx="2">
                  <c:v>8458000</c:v>
                </c:pt>
                <c:pt idx="3">
                  <c:v>8458000</c:v>
                </c:pt>
                <c:pt idx="4">
                  <c:v>8458000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464557"/>
        <c:axId val="88744812"/>
      </c:lineChart>
      <c:catAx>
        <c:axId val="7336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71496"/>
        <c:crosses val="autoZero"/>
        <c:auto val="1"/>
        <c:lblAlgn val="ctr"/>
        <c:lblOffset val="100"/>
        <c:noMultiLvlLbl val="0"/>
      </c:catAx>
      <c:valAx>
        <c:axId val="72071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662"/>
        <c:crosses val="autoZero"/>
        <c:crossBetween val="between"/>
      </c:valAx>
      <c:catAx>
        <c:axId val="4846455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44812"/>
        <c:crosses val="autoZero"/>
        <c:auto val="1"/>
        <c:lblAlgn val="ctr"/>
        <c:lblOffset val="100"/>
        <c:noMultiLvlLbl val="0"/>
      </c:catAx>
      <c:valAx>
        <c:axId val="88744812"/>
        <c:scaling>
          <c:orientation val="minMax"/>
        </c:scaling>
        <c:delete val="0"/>
        <c:axPos val="r"/>
        <c:numFmt formatCode="&quot;N$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645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caf5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f98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5393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8909c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Dashboard!$D$72:$G$72</c:f>
              <c:strCache>
                <c:ptCount val="4"/>
                <c:pt idx="0">
                  <c:v>Net Profit</c:v>
                </c:pt>
                <c:pt idx="1">
                  <c:v>Operating Costs</c:v>
                </c:pt>
                <c:pt idx="2">
                  <c:v>Manufacturing</c:v>
                </c:pt>
                <c:pt idx="3">
                  <c:v>Equipment</c:v>
                </c:pt>
              </c:strCache>
            </c:strRef>
          </c:cat>
          <c:val>
            <c:numRef>
              <c:f>Dashboard!$D$73:$G$73</c:f>
              <c:numCache>
                <c:formatCode>[$$-409]#,##0.00;[RED]\-[$$-409]#,##0.00</c:formatCode>
                <c:ptCount val="4"/>
                <c:pt idx="0">
                  <c:v>44298200</c:v>
                </c:pt>
                <c:pt idx="1">
                  <c:v>5980800</c:v>
                </c:pt>
                <c:pt idx="2">
                  <c:v>17000000</c:v>
                </c:pt>
                <c:pt idx="3">
                  <c:v>3179000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Flow (N$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"Cumulative Revenue"</c:f>
              <c:strCache>
                <c:ptCount val="1"/>
                <c:pt idx="0">
                  <c:v>Cumulative Revenue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Dashboard!$D$61:$H$61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Dashboard!$D$69:$H$69</c:f>
              <c:numCache>
                <c:formatCode>"N$"#,##0.00</c:formatCode>
                <c:ptCount val="5"/>
                <c:pt idx="0">
                  <c:v>70458000</c:v>
                </c:pt>
                <c:pt idx="1">
                  <c:v>78916000</c:v>
                </c:pt>
                <c:pt idx="2">
                  <c:v>87374000</c:v>
                </c:pt>
                <c:pt idx="3">
                  <c:v>95832000</c:v>
                </c:pt>
                <c:pt idx="4">
                  <c:v>104290000</c:v>
                </c:pt>
              </c:numCache>
            </c:numRef>
          </c:val>
        </c:ser>
        <c:ser>
          <c:idx val="1"/>
          <c:order val="1"/>
          <c:tx>
            <c:strRef>
              <c:f>"Cumulative Profit"</c:f>
              <c:strCache>
                <c:ptCount val="1"/>
                <c:pt idx="0">
                  <c:v>Cumulative Profit</c:v>
                </c:pt>
              </c:strCache>
            </c:strRef>
          </c:tx>
          <c:spPr>
            <a:solidFill>
              <a:srgbClr val="81c78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Dashboard!$D$61:$H$61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Dashboard!$D$70:$H$70</c:f>
              <c:numCache>
                <c:formatCode>[$$-409]#,##0.00;[RED]\-[$$-409]#,##0.00</c:formatCode>
                <c:ptCount val="5"/>
                <c:pt idx="0">
                  <c:v>44298200</c:v>
                </c:pt>
                <c:pt idx="1">
                  <c:v>46775400</c:v>
                </c:pt>
                <c:pt idx="2">
                  <c:v>49252600</c:v>
                </c:pt>
                <c:pt idx="3">
                  <c:v>51729800</c:v>
                </c:pt>
                <c:pt idx="4">
                  <c:v>54207000</c:v>
                </c:pt>
              </c:numCache>
            </c:numRef>
          </c:val>
        </c:ser>
        <c:gapWidth val="150"/>
        <c:overlap val="0"/>
        <c:axId val="38682096"/>
        <c:axId val="39344462"/>
      </c:barChart>
      <c:catAx>
        <c:axId val="3868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44462"/>
        <c:crosses val="autoZero"/>
        <c:auto val="1"/>
        <c:lblAlgn val="ctr"/>
        <c:lblOffset val="100"/>
        <c:noMultiLvlLbl val="0"/>
      </c:catAx>
      <c:valAx>
        <c:axId val="39344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820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13</xdr:col>
      <xdr:colOff>398880</xdr:colOff>
      <xdr:row>24</xdr:row>
      <xdr:rowOff>118800</xdr:rowOff>
    </xdr:to>
    <xdr:graphicFrame>
      <xdr:nvGraphicFramePr>
        <xdr:cNvPr id="0" name="Chart 1"/>
        <xdr:cNvGraphicFramePr/>
      </xdr:nvGraphicFramePr>
      <xdr:xfrm>
        <a:off x="3778200" y="59040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17</xdr:col>
      <xdr:colOff>502560</xdr:colOff>
      <xdr:row>24</xdr:row>
      <xdr:rowOff>118800</xdr:rowOff>
    </xdr:to>
    <xdr:graphicFrame>
      <xdr:nvGraphicFramePr>
        <xdr:cNvPr id="1" name="Chart 2"/>
        <xdr:cNvGraphicFramePr/>
      </xdr:nvGraphicFramePr>
      <xdr:xfrm>
        <a:off x="9067680" y="590400"/>
        <a:ext cx="50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16</xdr:row>
      <xdr:rowOff>100800</xdr:rowOff>
    </xdr:from>
    <xdr:to>
      <xdr:col>13</xdr:col>
      <xdr:colOff>398880</xdr:colOff>
      <xdr:row>40</xdr:row>
      <xdr:rowOff>89280</xdr:rowOff>
    </xdr:to>
    <xdr:graphicFrame>
      <xdr:nvGraphicFramePr>
        <xdr:cNvPr id="2" name="Chart 3"/>
        <xdr:cNvGraphicFramePr/>
      </xdr:nvGraphicFramePr>
      <xdr:xfrm>
        <a:off x="3778200" y="363852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B2:P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.5"/>
  </cols>
  <sheetData>
    <row r="2" customFormat="false" ht="31.5" hidden="false" customHeight="true" outlineLevel="0" collapsed="false">
      <c r="B2" s="1" t="s">
        <v>0</v>
      </c>
      <c r="C2" s="1"/>
      <c r="E2" s="2" t="str">
        <f aca="false">"5-Year Financial Overview ("&amp;$B$5&amp;")"</f>
        <v>5-Year Financial Overview (10,000 Meters)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B3" s="3"/>
      <c r="C3" s="3"/>
    </row>
    <row r="4" customFormat="false" ht="15" hidden="false" customHeight="false" outlineLevel="0" collapsed="false">
      <c r="B4" s="4" t="s">
        <v>1</v>
      </c>
      <c r="C4" s="3"/>
    </row>
    <row r="5" customFormat="false" ht="30" hidden="false" customHeight="true" outlineLevel="0" collapsed="false">
      <c r="B5" s="5" t="s">
        <v>2</v>
      </c>
      <c r="C5" s="5"/>
    </row>
    <row r="6" customFormat="false" ht="15" hidden="false" customHeight="false" outlineLevel="0" collapsed="false">
      <c r="B6" s="3"/>
      <c r="C6" s="3"/>
    </row>
    <row r="7" customFormat="false" ht="15" hidden="false" customHeight="false" outlineLevel="0" collapsed="false">
      <c r="B7" s="4" t="s">
        <v>3</v>
      </c>
      <c r="C7" s="6" t="s">
        <v>4</v>
      </c>
    </row>
    <row r="8" customFormat="false" ht="17.35" hidden="false" customHeight="false" outlineLevel="0" collapsed="false">
      <c r="B8" s="7" t="n">
        <v>5500</v>
      </c>
      <c r="C8" s="7"/>
    </row>
    <row r="9" customFormat="false" ht="15" hidden="false" customHeight="false" outlineLevel="0" collapsed="false">
      <c r="B9" s="3"/>
      <c r="C9" s="3"/>
    </row>
    <row r="10" customFormat="false" ht="15" hidden="false" customHeight="false" outlineLevel="0" collapsed="false">
      <c r="B10" s="4" t="s">
        <v>5</v>
      </c>
      <c r="C10" s="6" t="s">
        <v>4</v>
      </c>
    </row>
    <row r="11" customFormat="false" ht="17.35" hidden="false" customHeight="false" outlineLevel="0" collapsed="false">
      <c r="B11" s="7" t="n">
        <v>700</v>
      </c>
      <c r="C11" s="7"/>
    </row>
    <row r="12" customFormat="false" ht="15" hidden="false" customHeight="false" outlineLevel="0" collapsed="false">
      <c r="B12" s="3"/>
      <c r="C12" s="3"/>
    </row>
    <row r="13" customFormat="false" ht="15" hidden="false" customHeight="false" outlineLevel="0" collapsed="false">
      <c r="B13" s="4" t="s">
        <v>6</v>
      </c>
      <c r="C13" s="6" t="s">
        <v>4</v>
      </c>
    </row>
    <row r="14" customFormat="false" ht="17.35" hidden="false" customHeight="false" outlineLevel="0" collapsed="false">
      <c r="B14" s="7" t="n">
        <f aca="false">INDEX($C$54:$G$54,1,$C$52)</f>
        <v>1700</v>
      </c>
      <c r="C14" s="7"/>
    </row>
    <row r="15" customFormat="false" ht="15" hidden="false" customHeight="false" outlineLevel="0" collapsed="false">
      <c r="B15" s="3"/>
      <c r="C15" s="3"/>
    </row>
    <row r="16" customFormat="false" ht="15" hidden="false" customHeight="false" outlineLevel="0" collapsed="false">
      <c r="B16" s="4" t="s">
        <v>7</v>
      </c>
      <c r="C16" s="6" t="s">
        <v>8</v>
      </c>
    </row>
    <row r="17" customFormat="false" ht="17.35" hidden="false" customHeight="false" outlineLevel="0" collapsed="false">
      <c r="B17" s="7" t="n">
        <f aca="false">INDEX($C$56:$G$56,1,$C$52)</f>
        <v>5140800</v>
      </c>
      <c r="C17" s="7"/>
    </row>
    <row r="18" customFormat="false" ht="15" hidden="false" customHeight="false" outlineLevel="0" collapsed="false">
      <c r="B18" s="3"/>
      <c r="C18" s="3"/>
      <c r="L18" s="8" t="s">
        <v>9</v>
      </c>
      <c r="M18" s="8"/>
      <c r="N18" s="8"/>
      <c r="O18" s="8"/>
      <c r="P18" s="8"/>
    </row>
    <row r="19" customFormat="false" ht="15" hidden="false" customHeight="false" outlineLevel="0" collapsed="false">
      <c r="B19" s="4" t="s">
        <v>10</v>
      </c>
      <c r="C19" s="6" t="s">
        <v>8</v>
      </c>
      <c r="L19" s="9"/>
      <c r="M19" s="10" t="s">
        <v>11</v>
      </c>
      <c r="N19" s="10"/>
      <c r="O19" s="11" t="n">
        <f aca="false">D75</f>
        <v>0.758721507848647</v>
      </c>
      <c r="P19" s="11"/>
    </row>
    <row r="20" customFormat="false" ht="17.35" hidden="false" customHeight="false" outlineLevel="0" collapsed="false">
      <c r="B20" s="7" t="n">
        <f aca="false">INDEX($C$57:$G$57,1,$C$52)</f>
        <v>840000</v>
      </c>
      <c r="C20" s="7"/>
      <c r="L20" s="12"/>
      <c r="M20" s="10" t="s">
        <v>12</v>
      </c>
      <c r="N20" s="10"/>
      <c r="O20" s="11" t="n">
        <f aca="false">D76</f>
        <v>0.673836895739306</v>
      </c>
      <c r="P20" s="11"/>
    </row>
    <row r="21" customFormat="false" ht="15" hidden="false" customHeight="false" outlineLevel="0" collapsed="false">
      <c r="B21" s="3"/>
      <c r="C21" s="3"/>
      <c r="L21" s="13"/>
      <c r="M21" s="10" t="s">
        <v>13</v>
      </c>
      <c r="N21" s="10"/>
      <c r="O21" s="11" t="n">
        <f aca="false">D77</f>
        <v>0.628717817707003</v>
      </c>
      <c r="P21" s="11"/>
    </row>
    <row r="22" customFormat="false" ht="15" hidden="false" customHeight="false" outlineLevel="0" collapsed="false">
      <c r="B22" s="4" t="s">
        <v>14</v>
      </c>
      <c r="C22" s="6" t="s">
        <v>8</v>
      </c>
    </row>
    <row r="23" customFormat="false" ht="17.35" hidden="false" customHeight="false" outlineLevel="0" collapsed="false">
      <c r="B23" s="7" t="n">
        <f aca="false">INDEX($C$53:$G$53,1,$C$52)*SUM(Revenue!$E$6:$E$10)</f>
        <v>8458000</v>
      </c>
      <c r="C23" s="7"/>
      <c r="L23" s="8" t="s">
        <v>15</v>
      </c>
      <c r="M23" s="8"/>
      <c r="N23" s="8"/>
      <c r="O23" s="8"/>
      <c r="P23" s="8"/>
    </row>
    <row r="24" customFormat="false" ht="15" hidden="false" customHeight="false" outlineLevel="0" collapsed="false">
      <c r="B24" s="3"/>
      <c r="C24" s="3"/>
      <c r="L24" s="14" t="n">
        <f aca="false">D78</f>
        <v>105</v>
      </c>
      <c r="M24" s="14"/>
      <c r="N24" s="14"/>
      <c r="O24" s="14"/>
      <c r="P24" s="14"/>
    </row>
    <row r="25" customFormat="false" ht="15" hidden="false" customHeight="false" outlineLevel="0" collapsed="false">
      <c r="B25" s="4" t="s">
        <v>16</v>
      </c>
      <c r="C25" s="6" t="s">
        <v>17</v>
      </c>
      <c r="L25" s="14"/>
      <c r="M25" s="14"/>
      <c r="N25" s="14"/>
      <c r="O25" s="14"/>
      <c r="P25" s="14"/>
    </row>
    <row r="26" customFormat="false" ht="17.35" hidden="false" customHeight="false" outlineLevel="0" collapsed="false">
      <c r="B26" s="7" t="n">
        <f aca="false">INDEX($C$58:$G$58,1,$C$52)</f>
        <v>3179000</v>
      </c>
      <c r="C26" s="7"/>
      <c r="L26" s="15" t="s">
        <v>18</v>
      </c>
      <c r="M26" s="15"/>
      <c r="N26" s="15"/>
      <c r="O26" s="15"/>
      <c r="P26" s="15"/>
    </row>
    <row r="27" customFormat="false" ht="15" hidden="false" customHeight="false" outlineLevel="0" collapsed="false">
      <c r="B27" s="3"/>
      <c r="C27" s="3"/>
    </row>
    <row r="50" customFormat="false" ht="15" hidden="false" customHeight="false" outlineLevel="0" collapsed="false">
      <c r="B50" s="16" t="s">
        <v>19</v>
      </c>
    </row>
    <row r="51" customFormat="false" ht="15" hidden="false" customHeight="false" outlineLevel="0" collapsed="false">
      <c r="C51" s="16" t="s">
        <v>20</v>
      </c>
      <c r="D51" s="16" t="s">
        <v>21</v>
      </c>
      <c r="E51" s="16" t="s">
        <v>2</v>
      </c>
      <c r="F51" s="16" t="s">
        <v>22</v>
      </c>
      <c r="G51" s="16" t="s">
        <v>23</v>
      </c>
    </row>
    <row r="52" customFormat="false" ht="15" hidden="false" customHeight="false" outlineLevel="0" collapsed="false">
      <c r="B52" s="16" t="s">
        <v>24</v>
      </c>
      <c r="C52" s="16" t="n">
        <f aca="false">MATCH($B$5,$C$51:$G$51,0)</f>
        <v>3</v>
      </c>
    </row>
    <row r="53" customFormat="false" ht="15" hidden="false" customHeight="false" outlineLevel="0" collapsed="false">
      <c r="C53" s="16" t="n">
        <v>3000</v>
      </c>
      <c r="D53" s="16" t="n">
        <v>5000</v>
      </c>
      <c r="E53" s="16" t="n">
        <v>10000</v>
      </c>
      <c r="F53" s="16" t="n">
        <v>20000</v>
      </c>
      <c r="G53" s="16" t="n">
        <v>50000</v>
      </c>
    </row>
    <row r="54" customFormat="false" ht="15" hidden="false" customHeight="false" outlineLevel="0" collapsed="false">
      <c r="C54" s="17" t="n">
        <f aca="false">'Manufacturing Cost'!C13</f>
        <v>2000</v>
      </c>
      <c r="D54" s="17" t="n">
        <f aca="false">'Manufacturing Cost'!C14</f>
        <v>2000</v>
      </c>
      <c r="E54" s="17" t="n">
        <f aca="false">'Manufacturing Cost'!C15</f>
        <v>1700</v>
      </c>
      <c r="F54" s="17" t="n">
        <f aca="false">'Manufacturing Cost'!C16</f>
        <v>1700</v>
      </c>
      <c r="G54" s="17" t="n">
        <f aca="false">'Manufacturing Cost'!C17</f>
        <v>1462</v>
      </c>
    </row>
    <row r="55" customFormat="false" ht="15" hidden="false" customHeight="false" outlineLevel="0" collapsed="false">
      <c r="C55" s="17" t="n">
        <f aca="false">'Manufacturing Cost'!D13</f>
        <v>6000000</v>
      </c>
      <c r="D55" s="17" t="n">
        <f aca="false">'Manufacturing Cost'!D14</f>
        <v>10000000</v>
      </c>
      <c r="E55" s="17" t="n">
        <f aca="false">'Manufacturing Cost'!D15</f>
        <v>17000000</v>
      </c>
      <c r="F55" s="17" t="n">
        <f aca="false">'Manufacturing Cost'!D16</f>
        <v>34000000</v>
      </c>
      <c r="G55" s="17" t="n">
        <f aca="false">'Manufacturing Cost'!D17</f>
        <v>73100000</v>
      </c>
    </row>
    <row r="56" customFormat="false" ht="15" hidden="false" customHeight="false" outlineLevel="0" collapsed="false">
      <c r="C56" s="17" t="n">
        <f aca="false">'Personnel Cost'!C91</f>
        <v>866400</v>
      </c>
      <c r="D56" s="17" t="n">
        <f aca="false">'Personnel Cost'!D91</f>
        <v>2560800</v>
      </c>
      <c r="E56" s="17" t="n">
        <f aca="false">'Personnel Cost'!E91</f>
        <v>5140800</v>
      </c>
      <c r="F56" s="17" t="n">
        <f aca="false">'Personnel Cost'!F91</f>
        <v>7173600</v>
      </c>
      <c r="G56" s="17" t="n">
        <f aca="false">'Personnel Cost'!G91</f>
        <v>9571200</v>
      </c>
    </row>
    <row r="57" customFormat="false" ht="15" hidden="false" customHeight="false" outlineLevel="0" collapsed="false">
      <c r="C57" s="17" t="n">
        <f aca="false">'Infrastructure &amp; Equipment'!C7</f>
        <v>240000</v>
      </c>
      <c r="D57" s="17" t="n">
        <f aca="false">'Infrastructure &amp; Equipment'!D7</f>
        <v>420000</v>
      </c>
      <c r="E57" s="17" t="n">
        <f aca="false">'Infrastructure &amp; Equipment'!E7</f>
        <v>840000</v>
      </c>
      <c r="F57" s="17" t="n">
        <f aca="false">'Infrastructure &amp; Equipment'!F7</f>
        <v>1560000</v>
      </c>
      <c r="G57" s="17" t="n">
        <f aca="false">'Infrastructure &amp; Equipment'!G7</f>
        <v>3480000</v>
      </c>
    </row>
    <row r="58" customFormat="false" ht="15" hidden="false" customHeight="false" outlineLevel="0" collapsed="false">
      <c r="C58" s="17" t="n">
        <f aca="false">'Infrastructure &amp; Equipment'!C19</f>
        <v>949700</v>
      </c>
      <c r="D58" s="17" t="n">
        <f aca="false">'Infrastructure &amp; Equipment'!D19</f>
        <v>1739500</v>
      </c>
      <c r="E58" s="17" t="n">
        <f aca="false">'Infrastructure &amp; Equipment'!E19</f>
        <v>3179000</v>
      </c>
      <c r="F58" s="17" t="n">
        <f aca="false">'Infrastructure &amp; Equipment'!F19</f>
        <v>5038000</v>
      </c>
      <c r="G58" s="17" t="n">
        <f aca="false">'Infrastructure &amp; Equipment'!G19</f>
        <v>10225000</v>
      </c>
    </row>
    <row r="61" customFormat="false" ht="15" hidden="false" customHeight="false" outlineLevel="0" collapsed="false">
      <c r="D61" s="16" t="s">
        <v>25</v>
      </c>
      <c r="E61" s="16" t="s">
        <v>26</v>
      </c>
      <c r="F61" s="16" t="s">
        <v>27</v>
      </c>
      <c r="G61" s="16" t="s">
        <v>28</v>
      </c>
      <c r="H61" s="16" t="s">
        <v>29</v>
      </c>
    </row>
    <row r="62" customFormat="false" ht="15" hidden="false" customHeight="false" outlineLevel="0" collapsed="false">
      <c r="C62" s="16" t="s">
        <v>30</v>
      </c>
      <c r="D62" s="18" t="n">
        <f aca="false">INDEX($C$53:$G$53,1,$C$52)*Revenue!$E$11</f>
        <v>70458000</v>
      </c>
      <c r="E62" s="19" t="n">
        <f aca="false">INDEX($C$53:$G$53,1,$C$52)*SUM(Revenue!$E$6:$E$10)</f>
        <v>8458000</v>
      </c>
      <c r="F62" s="19" t="n">
        <f aca="false">INDEX($C$53:$G$53,1,$C$52)*SUM(Revenue!$E$6:$E$10)</f>
        <v>8458000</v>
      </c>
      <c r="G62" s="19" t="n">
        <f aca="false">INDEX($C$53:$G$53,1,$C$52)*SUM(Revenue!$E$6:$E$10)</f>
        <v>8458000</v>
      </c>
      <c r="H62" s="19" t="n">
        <f aca="false">INDEX($C$53:$G$53,1,$C$52)*SUM(Revenue!$E$6:$E$10)</f>
        <v>8458000</v>
      </c>
    </row>
    <row r="63" customFormat="false" ht="15" hidden="false" customHeight="false" outlineLevel="0" collapsed="false">
      <c r="C63" s="16" t="s">
        <v>31</v>
      </c>
      <c r="D63" s="19" t="n">
        <f aca="false">D62-D65-D66</f>
        <v>47477200</v>
      </c>
      <c r="E63" s="19" t="n">
        <f aca="false">E62-E66</f>
        <v>2477200</v>
      </c>
      <c r="F63" s="19" t="n">
        <f aca="false">F62-F66</f>
        <v>2477200</v>
      </c>
      <c r="G63" s="19" t="n">
        <f aca="false">G62-G66</f>
        <v>2477200</v>
      </c>
      <c r="H63" s="19" t="n">
        <f aca="false">H62-H66</f>
        <v>2477200</v>
      </c>
    </row>
    <row r="64" customFormat="false" ht="15" hidden="false" customHeight="false" outlineLevel="0" collapsed="false">
      <c r="C64" s="16" t="s">
        <v>32</v>
      </c>
      <c r="D64" s="19" t="n">
        <f aca="false">D63-D67</f>
        <v>44298200</v>
      </c>
      <c r="E64" s="19" t="n">
        <f aca="false">E63-E67</f>
        <v>2477200</v>
      </c>
      <c r="F64" s="19" t="n">
        <f aca="false">F63-F67</f>
        <v>2477200</v>
      </c>
      <c r="G64" s="19" t="n">
        <f aca="false">G63-G67</f>
        <v>2477200</v>
      </c>
      <c r="H64" s="19" t="n">
        <f aca="false">H63-H67</f>
        <v>2477200</v>
      </c>
    </row>
    <row r="65" customFormat="false" ht="15" hidden="false" customHeight="false" outlineLevel="0" collapsed="false">
      <c r="C65" s="16" t="s">
        <v>33</v>
      </c>
      <c r="D65" s="20" t="n">
        <f aca="false">INDEX($C$55:$G$55,1,$C$52)</f>
        <v>17000000</v>
      </c>
      <c r="E65" s="16" t="n">
        <v>0</v>
      </c>
      <c r="F65" s="16" t="n">
        <v>0</v>
      </c>
      <c r="G65" s="16" t="n">
        <v>0</v>
      </c>
      <c r="H65" s="16" t="n">
        <v>0</v>
      </c>
    </row>
    <row r="66" customFormat="false" ht="15" hidden="false" customHeight="false" outlineLevel="0" collapsed="false">
      <c r="C66" s="16" t="s">
        <v>34</v>
      </c>
      <c r="D66" s="20" t="n">
        <f aca="false">INDEX($C$56:$G$56,1,$C$52)+INDEX($C$57:$G$57,1,$C$52)</f>
        <v>5980800</v>
      </c>
      <c r="E66" s="20" t="n">
        <f aca="false">$D$66</f>
        <v>5980800</v>
      </c>
      <c r="F66" s="20" t="n">
        <f aca="false">$D$66</f>
        <v>5980800</v>
      </c>
      <c r="G66" s="20" t="n">
        <f aca="false">$D$66</f>
        <v>5980800</v>
      </c>
      <c r="H66" s="20" t="n">
        <f aca="false">$D$66</f>
        <v>5980800</v>
      </c>
    </row>
    <row r="67" customFormat="false" ht="15" hidden="false" customHeight="false" outlineLevel="0" collapsed="false">
      <c r="C67" s="16" t="s">
        <v>16</v>
      </c>
      <c r="D67" s="20" t="n">
        <f aca="false">INDEX($C$58:$G$58,1,$C$52)</f>
        <v>3179000</v>
      </c>
      <c r="E67" s="16" t="n">
        <v>0</v>
      </c>
      <c r="F67" s="16" t="n">
        <v>0</v>
      </c>
      <c r="G67" s="16" t="n">
        <v>0</v>
      </c>
      <c r="H67" s="16" t="n">
        <v>0</v>
      </c>
    </row>
    <row r="68" customFormat="false" ht="15" hidden="false" customHeight="false" outlineLevel="0" collapsed="false">
      <c r="C68" s="16" t="s">
        <v>35</v>
      </c>
      <c r="D68" s="19" t="n">
        <f aca="false">D65+D66+D67</f>
        <v>26159800</v>
      </c>
      <c r="E68" s="19" t="n">
        <f aca="false">E65+E66+E67</f>
        <v>5980800</v>
      </c>
      <c r="F68" s="19" t="n">
        <f aca="false">F65+F66+F67</f>
        <v>5980800</v>
      </c>
      <c r="G68" s="19" t="n">
        <f aca="false">G65+G66+G67</f>
        <v>5980800</v>
      </c>
      <c r="H68" s="19" t="n">
        <f aca="false">H65+H66+H67</f>
        <v>5980800</v>
      </c>
    </row>
    <row r="69" customFormat="false" ht="15" hidden="false" customHeight="false" outlineLevel="0" collapsed="false">
      <c r="C69" s="16" t="s">
        <v>36</v>
      </c>
      <c r="D69" s="18" t="n">
        <f aca="false">D62</f>
        <v>70458000</v>
      </c>
      <c r="E69" s="18" t="n">
        <f aca="false">D69+E62</f>
        <v>78916000</v>
      </c>
      <c r="F69" s="18" t="n">
        <f aca="false">E69+F62</f>
        <v>87374000</v>
      </c>
      <c r="G69" s="18" t="n">
        <f aca="false">F69+G62</f>
        <v>95832000</v>
      </c>
      <c r="H69" s="18" t="n">
        <f aca="false">G69+H62</f>
        <v>104290000</v>
      </c>
    </row>
    <row r="70" customFormat="false" ht="15" hidden="false" customHeight="false" outlineLevel="0" collapsed="false">
      <c r="C70" s="16" t="s">
        <v>37</v>
      </c>
      <c r="D70" s="19" t="n">
        <f aca="false">D64</f>
        <v>44298200</v>
      </c>
      <c r="E70" s="19" t="n">
        <f aca="false">D70+E64</f>
        <v>46775400</v>
      </c>
      <c r="F70" s="19" t="n">
        <f aca="false">E70+F64</f>
        <v>49252600</v>
      </c>
      <c r="G70" s="19" t="n">
        <f aca="false">F70+G64</f>
        <v>51729800</v>
      </c>
      <c r="H70" s="19" t="n">
        <f aca="false">G70+H64</f>
        <v>54207000</v>
      </c>
    </row>
    <row r="72" customFormat="false" ht="15" hidden="false" customHeight="false" outlineLevel="0" collapsed="false">
      <c r="D72" s="16" t="s">
        <v>32</v>
      </c>
      <c r="E72" s="16" t="s">
        <v>38</v>
      </c>
      <c r="F72" s="16" t="s">
        <v>39</v>
      </c>
      <c r="G72" s="16" t="s">
        <v>16</v>
      </c>
    </row>
    <row r="73" customFormat="false" ht="15" hidden="false" customHeight="false" outlineLevel="0" collapsed="false">
      <c r="D73" s="21" t="n">
        <f aca="false">D64</f>
        <v>44298200</v>
      </c>
      <c r="E73" s="17" t="n">
        <f aca="false">D66</f>
        <v>5980800</v>
      </c>
      <c r="F73" s="17" t="n">
        <f aca="false">D65</f>
        <v>17000000</v>
      </c>
      <c r="G73" s="17" t="n">
        <f aca="false">D67</f>
        <v>3179000</v>
      </c>
    </row>
    <row r="75" customFormat="false" ht="15" hidden="false" customHeight="false" outlineLevel="0" collapsed="false">
      <c r="C75" s="16" t="s">
        <v>11</v>
      </c>
      <c r="D75" s="22" t="n">
        <f aca="false">IF(D62&gt;0,(D62-D65)/D62,0)</f>
        <v>0.758721507848647</v>
      </c>
    </row>
    <row r="76" customFormat="false" ht="15" hidden="false" customHeight="false" outlineLevel="0" collapsed="false">
      <c r="C76" s="16" t="s">
        <v>40</v>
      </c>
      <c r="D76" s="22" t="n">
        <f aca="false">IF(D62&gt;0,D63/D62,0)</f>
        <v>0.673836895739306</v>
      </c>
    </row>
    <row r="77" customFormat="false" ht="15" hidden="false" customHeight="false" outlineLevel="0" collapsed="false">
      <c r="C77" s="16" t="s">
        <v>13</v>
      </c>
      <c r="D77" s="22" t="n">
        <f aca="false">IF(D62&gt;0,D64/D62,0)</f>
        <v>0.628717817707003</v>
      </c>
    </row>
    <row r="78" customFormat="false" ht="15" hidden="false" customHeight="false" outlineLevel="0" collapsed="false">
      <c r="C78" s="16" t="s">
        <v>41</v>
      </c>
      <c r="D78" s="22" t="n">
        <f aca="false">ROUND((D65+D67)/(D62/365),0)</f>
        <v>105</v>
      </c>
    </row>
  </sheetData>
  <mergeCells count="20">
    <mergeCell ref="B2:C2"/>
    <mergeCell ref="E2:P2"/>
    <mergeCell ref="B5:C5"/>
    <mergeCell ref="B8:C8"/>
    <mergeCell ref="B11:C11"/>
    <mergeCell ref="B14:C14"/>
    <mergeCell ref="B17:C17"/>
    <mergeCell ref="L18:P18"/>
    <mergeCell ref="M19:N19"/>
    <mergeCell ref="O19:P19"/>
    <mergeCell ref="B20:C20"/>
    <mergeCell ref="M20:N20"/>
    <mergeCell ref="O20:P20"/>
    <mergeCell ref="M21:N21"/>
    <mergeCell ref="O21:P21"/>
    <mergeCell ref="B23:C23"/>
    <mergeCell ref="L23:P23"/>
    <mergeCell ref="L24:P25"/>
    <mergeCell ref="B26:C26"/>
    <mergeCell ref="L26:P26"/>
  </mergeCells>
  <dataValidations count="1">
    <dataValidation allowBlank="false" errorStyle="stop" operator="between" prompt="Select a rollout scenario" promptTitle="Meter Rollout" showDropDown="false" showErrorMessage="false" showInputMessage="false" sqref="B5" type="list">
      <formula1>$C$51:$G$51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6"/>
    <col collapsed="false" customWidth="true" hidden="false" outlineLevel="0" max="8" min="8" style="0" width="30"/>
    <col collapsed="false" customWidth="true" hidden="false" outlineLevel="0" max="10" min="9" style="0" width="18"/>
  </cols>
  <sheetData>
    <row r="1" customFormat="false" ht="15" hidden="false" customHeight="false" outlineLevel="0" collapsed="false">
      <c r="A1" s="23" t="s">
        <v>42</v>
      </c>
      <c r="B1" s="24" t="s">
        <v>20</v>
      </c>
      <c r="C1" s="24" t="s">
        <v>21</v>
      </c>
      <c r="D1" s="24" t="s">
        <v>2</v>
      </c>
      <c r="E1" s="24" t="s">
        <v>22</v>
      </c>
      <c r="F1" s="24" t="s">
        <v>23</v>
      </c>
      <c r="H1" s="25" t="s">
        <v>43</v>
      </c>
      <c r="I1" s="25" t="s">
        <v>44</v>
      </c>
      <c r="J1" s="25" t="s">
        <v>45</v>
      </c>
    </row>
    <row r="2" customFormat="false" ht="15" hidden="false" customHeight="false" outlineLevel="0" collapsed="false">
      <c r="A2" s="26" t="s">
        <v>46</v>
      </c>
      <c r="B2" s="27"/>
      <c r="C2" s="27"/>
      <c r="D2" s="27"/>
      <c r="E2" s="27"/>
      <c r="F2" s="27"/>
      <c r="H2" s="28" t="s">
        <v>47</v>
      </c>
      <c r="I2" s="29" t="n">
        <v>35000</v>
      </c>
      <c r="J2" s="30" t="n">
        <f aca="false">I2*12</f>
        <v>420000</v>
      </c>
    </row>
    <row r="3" customFormat="false" ht="15" hidden="false" customHeight="false" outlineLevel="0" collapsed="false">
      <c r="A3" s="28" t="s">
        <v>47</v>
      </c>
      <c r="B3" s="31" t="n">
        <v>1</v>
      </c>
      <c r="C3" s="31" t="n">
        <v>1</v>
      </c>
      <c r="D3" s="31" t="n">
        <v>1</v>
      </c>
      <c r="E3" s="31" t="n">
        <v>1</v>
      </c>
      <c r="F3" s="31" t="n">
        <v>1</v>
      </c>
      <c r="H3" s="28" t="s">
        <v>48</v>
      </c>
      <c r="I3" s="29" t="n">
        <v>28000</v>
      </c>
      <c r="J3" s="30" t="n">
        <f aca="false">I3*12</f>
        <v>336000</v>
      </c>
    </row>
    <row r="4" customFormat="false" ht="15" hidden="false" customHeight="false" outlineLevel="0" collapsed="false">
      <c r="A4" s="28" t="s">
        <v>48</v>
      </c>
      <c r="B4" s="31" t="n">
        <v>0</v>
      </c>
      <c r="C4" s="31" t="n">
        <v>0</v>
      </c>
      <c r="D4" s="31" t="n">
        <v>1</v>
      </c>
      <c r="E4" s="31" t="n">
        <v>1</v>
      </c>
      <c r="F4" s="31" t="n">
        <v>1</v>
      </c>
      <c r="H4" s="28" t="s">
        <v>49</v>
      </c>
      <c r="I4" s="29" t="n">
        <v>28000</v>
      </c>
      <c r="J4" s="30" t="n">
        <f aca="false">I4*12</f>
        <v>336000</v>
      </c>
    </row>
    <row r="5" customFormat="false" ht="15" hidden="false" customHeight="false" outlineLevel="0" collapsed="false">
      <c r="A5" s="28" t="s">
        <v>49</v>
      </c>
      <c r="B5" s="31" t="n">
        <v>0</v>
      </c>
      <c r="C5" s="31" t="n">
        <v>1</v>
      </c>
      <c r="D5" s="31" t="n">
        <v>1</v>
      </c>
      <c r="E5" s="31" t="n">
        <v>1</v>
      </c>
      <c r="F5" s="31" t="n">
        <v>1</v>
      </c>
      <c r="H5" s="28" t="s">
        <v>50</v>
      </c>
      <c r="I5" s="29" t="n">
        <v>30000</v>
      </c>
      <c r="J5" s="30" t="n">
        <f aca="false">I5*12</f>
        <v>360000</v>
      </c>
    </row>
    <row r="6" customFormat="false" ht="15" hidden="false" customHeight="false" outlineLevel="0" collapsed="false">
      <c r="A6" s="28" t="s">
        <v>50</v>
      </c>
      <c r="B6" s="31" t="n">
        <v>0</v>
      </c>
      <c r="C6" s="31" t="n">
        <v>1</v>
      </c>
      <c r="D6" s="31" t="n">
        <v>1</v>
      </c>
      <c r="E6" s="31" t="n">
        <v>1</v>
      </c>
      <c r="F6" s="31" t="n">
        <v>1</v>
      </c>
      <c r="H6" s="28" t="s">
        <v>51</v>
      </c>
      <c r="I6" s="29" t="n">
        <v>25000</v>
      </c>
      <c r="J6" s="30" t="n">
        <f aca="false">I6*12</f>
        <v>300000</v>
      </c>
    </row>
    <row r="7" customFormat="false" ht="15" hidden="false" customHeight="false" outlineLevel="0" collapsed="false">
      <c r="A7" s="28" t="s">
        <v>51</v>
      </c>
      <c r="B7" s="31" t="n">
        <v>0</v>
      </c>
      <c r="C7" s="31" t="n">
        <v>0</v>
      </c>
      <c r="D7" s="31" t="n">
        <v>1</v>
      </c>
      <c r="E7" s="31" t="n">
        <v>1</v>
      </c>
      <c r="F7" s="31" t="n">
        <v>1</v>
      </c>
      <c r="H7" s="28" t="s">
        <v>52</v>
      </c>
      <c r="I7" s="29" t="n">
        <v>22000</v>
      </c>
      <c r="J7" s="30" t="n">
        <f aca="false">I7*12</f>
        <v>264000</v>
      </c>
    </row>
    <row r="8" customFormat="false" ht="15" hidden="false" customHeight="false" outlineLevel="0" collapsed="false">
      <c r="A8" s="28" t="s">
        <v>52</v>
      </c>
      <c r="B8" s="31" t="n">
        <v>0</v>
      </c>
      <c r="C8" s="31" t="n">
        <v>0</v>
      </c>
      <c r="D8" s="31" t="n">
        <v>0</v>
      </c>
      <c r="E8" s="31" t="n">
        <v>1</v>
      </c>
      <c r="F8" s="31" t="n">
        <v>1</v>
      </c>
      <c r="H8" s="28" t="s">
        <v>53</v>
      </c>
      <c r="I8" s="29" t="n">
        <v>22000</v>
      </c>
      <c r="J8" s="30" t="n">
        <f aca="false">I8*12</f>
        <v>264000</v>
      </c>
    </row>
    <row r="9" customFormat="false" ht="15" hidden="false" customHeight="false" outlineLevel="0" collapsed="false">
      <c r="A9" s="28" t="s">
        <v>53</v>
      </c>
      <c r="B9" s="31" t="n">
        <v>0</v>
      </c>
      <c r="C9" s="31" t="n">
        <v>0</v>
      </c>
      <c r="D9" s="31" t="n">
        <v>0</v>
      </c>
      <c r="E9" s="31" t="n">
        <v>1</v>
      </c>
      <c r="F9" s="31" t="n">
        <v>1</v>
      </c>
      <c r="H9" s="28" t="s">
        <v>54</v>
      </c>
      <c r="I9" s="29" t="n">
        <v>20000</v>
      </c>
      <c r="J9" s="30" t="n">
        <f aca="false">I9*12</f>
        <v>240000</v>
      </c>
    </row>
    <row r="10" customFormat="false" ht="15" hidden="false" customHeight="false" outlineLevel="0" collapsed="false">
      <c r="A10" s="32" t="s">
        <v>55</v>
      </c>
      <c r="B10" s="33" t="n">
        <f aca="false">SUM(B3:B9)</f>
        <v>1</v>
      </c>
      <c r="C10" s="33" t="n">
        <f aca="false">SUM(C3:C9)</f>
        <v>3</v>
      </c>
      <c r="D10" s="33" t="n">
        <f aca="false">SUM(D3:D9)</f>
        <v>5</v>
      </c>
      <c r="E10" s="33" t="n">
        <f aca="false">SUM(E3:E9)</f>
        <v>7</v>
      </c>
      <c r="F10" s="33" t="n">
        <f aca="false">SUM(F3:F9)</f>
        <v>7</v>
      </c>
      <c r="H10" s="28" t="s">
        <v>56</v>
      </c>
      <c r="I10" s="29" t="n">
        <v>9000</v>
      </c>
      <c r="J10" s="30" t="n">
        <f aca="false">I10*12</f>
        <v>108000</v>
      </c>
    </row>
    <row r="11" customFormat="false" ht="15" hidden="false" customHeight="false" outlineLevel="0" collapsed="false">
      <c r="H11" s="28" t="s">
        <v>57</v>
      </c>
      <c r="I11" s="29" t="n">
        <v>11000</v>
      </c>
      <c r="J11" s="30" t="n">
        <f aca="false">I11*12</f>
        <v>132000</v>
      </c>
    </row>
    <row r="12" customFormat="false" ht="15" hidden="false" customHeight="false" outlineLevel="0" collapsed="false">
      <c r="A12" s="26" t="s">
        <v>58</v>
      </c>
      <c r="B12" s="27"/>
      <c r="C12" s="27"/>
      <c r="D12" s="27"/>
      <c r="E12" s="27"/>
      <c r="F12" s="27"/>
      <c r="H12" s="28" t="s">
        <v>59</v>
      </c>
      <c r="I12" s="29" t="n">
        <v>8000</v>
      </c>
      <c r="J12" s="30" t="n">
        <f aca="false">I12*12</f>
        <v>96000</v>
      </c>
    </row>
    <row r="13" customFormat="false" ht="15" hidden="false" customHeight="false" outlineLevel="0" collapsed="false">
      <c r="A13" s="28" t="s">
        <v>54</v>
      </c>
      <c r="B13" s="31" t="n">
        <v>0</v>
      </c>
      <c r="C13" s="31" t="n">
        <v>1</v>
      </c>
      <c r="D13" s="31" t="n">
        <v>1</v>
      </c>
      <c r="E13" s="31" t="n">
        <v>1</v>
      </c>
      <c r="F13" s="31" t="n">
        <v>1</v>
      </c>
      <c r="H13" s="28" t="s">
        <v>60</v>
      </c>
      <c r="I13" s="29" t="n">
        <v>22000</v>
      </c>
      <c r="J13" s="30" t="n">
        <f aca="false">I13*12</f>
        <v>264000</v>
      </c>
    </row>
    <row r="14" customFormat="false" ht="15" hidden="false" customHeight="false" outlineLevel="0" collapsed="false">
      <c r="A14" s="28" t="s">
        <v>56</v>
      </c>
      <c r="B14" s="31" t="n">
        <v>2</v>
      </c>
      <c r="C14" s="31" t="n">
        <v>3</v>
      </c>
      <c r="D14" s="31" t="n">
        <v>4</v>
      </c>
      <c r="E14" s="31" t="n">
        <v>5</v>
      </c>
      <c r="F14" s="31" t="n">
        <v>8</v>
      </c>
      <c r="H14" s="28" t="s">
        <v>61</v>
      </c>
      <c r="I14" s="29" t="n">
        <v>12000</v>
      </c>
      <c r="J14" s="30" t="n">
        <f aca="false">I14*12</f>
        <v>144000</v>
      </c>
    </row>
    <row r="15" customFormat="false" ht="15" hidden="false" customHeight="false" outlineLevel="0" collapsed="false">
      <c r="A15" s="28" t="s">
        <v>57</v>
      </c>
      <c r="B15" s="31" t="n">
        <v>0</v>
      </c>
      <c r="C15" s="31" t="n">
        <v>1</v>
      </c>
      <c r="D15" s="31" t="n">
        <v>1</v>
      </c>
      <c r="E15" s="31" t="n">
        <v>2</v>
      </c>
      <c r="F15" s="31" t="n">
        <v>3</v>
      </c>
      <c r="H15" s="28" t="s">
        <v>62</v>
      </c>
      <c r="I15" s="29" t="n">
        <v>15000</v>
      </c>
      <c r="J15" s="30" t="n">
        <f aca="false">I15*12</f>
        <v>180000</v>
      </c>
    </row>
    <row r="16" customFormat="false" ht="15" hidden="false" customHeight="false" outlineLevel="0" collapsed="false">
      <c r="A16" s="28" t="s">
        <v>59</v>
      </c>
      <c r="B16" s="31" t="n">
        <v>0</v>
      </c>
      <c r="C16" s="31" t="n">
        <v>0</v>
      </c>
      <c r="D16" s="31" t="n">
        <v>1</v>
      </c>
      <c r="E16" s="31" t="n">
        <v>1</v>
      </c>
      <c r="F16" s="31" t="n">
        <v>2</v>
      </c>
      <c r="H16" s="28" t="s">
        <v>63</v>
      </c>
      <c r="I16" s="29" t="n">
        <v>15000</v>
      </c>
      <c r="J16" s="30" t="n">
        <f aca="false">I16*12</f>
        <v>180000</v>
      </c>
    </row>
    <row r="17" customFormat="false" ht="15" hidden="false" customHeight="false" outlineLevel="0" collapsed="false">
      <c r="A17" s="32" t="s">
        <v>64</v>
      </c>
      <c r="B17" s="33" t="n">
        <f aca="false">SUM(B13:B16)</f>
        <v>2</v>
      </c>
      <c r="C17" s="33" t="n">
        <f aca="false">SUM(C13:C16)</f>
        <v>5</v>
      </c>
      <c r="D17" s="33" t="n">
        <f aca="false">SUM(D13:D16)</f>
        <v>7</v>
      </c>
      <c r="E17" s="33" t="n">
        <f aca="false">SUM(E13:E16)</f>
        <v>9</v>
      </c>
      <c r="F17" s="33" t="n">
        <f aca="false">SUM(F13:F16)</f>
        <v>14</v>
      </c>
      <c r="H17" s="28" t="s">
        <v>65</v>
      </c>
      <c r="I17" s="29" t="n">
        <v>18000</v>
      </c>
      <c r="J17" s="30" t="n">
        <f aca="false">I17*12</f>
        <v>216000</v>
      </c>
    </row>
    <row r="18" customFormat="false" ht="15" hidden="false" customHeight="false" outlineLevel="0" collapsed="false">
      <c r="H18" s="28" t="s">
        <v>66</v>
      </c>
      <c r="I18" s="29" t="n">
        <v>7200</v>
      </c>
      <c r="J18" s="30" t="n">
        <f aca="false">I18*12</f>
        <v>86400</v>
      </c>
    </row>
    <row r="19" customFormat="false" ht="15" hidden="false" customHeight="false" outlineLevel="0" collapsed="false">
      <c r="A19" s="26" t="s">
        <v>67</v>
      </c>
      <c r="B19" s="27"/>
      <c r="C19" s="27"/>
      <c r="D19" s="27"/>
      <c r="E19" s="27"/>
      <c r="F19" s="27"/>
      <c r="H19" s="28" t="s">
        <v>68</v>
      </c>
      <c r="I19" s="29" t="n">
        <v>9000</v>
      </c>
      <c r="J19" s="30" t="n">
        <f aca="false">I19*12</f>
        <v>108000</v>
      </c>
    </row>
    <row r="20" customFormat="false" ht="15" hidden="false" customHeight="false" outlineLevel="0" collapsed="false">
      <c r="A20" s="28" t="s">
        <v>60</v>
      </c>
      <c r="B20" s="31" t="n">
        <v>0</v>
      </c>
      <c r="C20" s="31" t="n">
        <v>0</v>
      </c>
      <c r="D20" s="31" t="n">
        <v>1</v>
      </c>
      <c r="E20" s="31" t="n">
        <v>1</v>
      </c>
      <c r="F20" s="31" t="n">
        <v>1</v>
      </c>
      <c r="H20" s="28" t="s">
        <v>69</v>
      </c>
      <c r="I20" s="29" t="n">
        <v>20000</v>
      </c>
      <c r="J20" s="30" t="n">
        <f aca="false">I20*12</f>
        <v>240000</v>
      </c>
    </row>
    <row r="21" customFormat="false" ht="15" hidden="false" customHeight="false" outlineLevel="0" collapsed="false">
      <c r="A21" s="28" t="s">
        <v>61</v>
      </c>
      <c r="B21" s="31" t="n">
        <v>1</v>
      </c>
      <c r="C21" s="31" t="n">
        <v>1</v>
      </c>
      <c r="D21" s="31" t="n">
        <v>1</v>
      </c>
      <c r="E21" s="31" t="n">
        <v>3</v>
      </c>
      <c r="F21" s="31" t="n">
        <v>5</v>
      </c>
      <c r="H21" s="28" t="s">
        <v>70</v>
      </c>
      <c r="I21" s="29" t="n">
        <v>10000</v>
      </c>
      <c r="J21" s="30" t="n">
        <f aca="false">I21*12</f>
        <v>120000</v>
      </c>
    </row>
    <row r="22" customFormat="false" ht="15" hidden="false" customHeight="false" outlineLevel="0" collapsed="false">
      <c r="A22" s="28" t="s">
        <v>62</v>
      </c>
      <c r="B22" s="31" t="n">
        <v>0</v>
      </c>
      <c r="C22" s="31" t="n">
        <v>1</v>
      </c>
      <c r="D22" s="31" t="n">
        <v>2</v>
      </c>
      <c r="E22" s="31" t="n">
        <v>3</v>
      </c>
      <c r="F22" s="31" t="n">
        <v>5</v>
      </c>
      <c r="H22" s="28" t="s">
        <v>71</v>
      </c>
      <c r="I22" s="29" t="n">
        <v>9000</v>
      </c>
      <c r="J22" s="30" t="n">
        <f aca="false">I22*12</f>
        <v>108000</v>
      </c>
    </row>
    <row r="23" customFormat="false" ht="15" hidden="false" customHeight="false" outlineLevel="0" collapsed="false">
      <c r="A23" s="28" t="s">
        <v>63</v>
      </c>
      <c r="B23" s="31" t="n">
        <v>0</v>
      </c>
      <c r="C23" s="31" t="n">
        <v>0</v>
      </c>
      <c r="D23" s="31" t="n">
        <v>1</v>
      </c>
      <c r="E23" s="31" t="n">
        <v>2</v>
      </c>
      <c r="F23" s="31" t="n">
        <v>3</v>
      </c>
      <c r="H23" s="28" t="s">
        <v>72</v>
      </c>
      <c r="I23" s="29" t="n">
        <v>20000</v>
      </c>
      <c r="J23" s="30" t="n">
        <f aca="false">I23*12</f>
        <v>240000</v>
      </c>
    </row>
    <row r="24" customFormat="false" ht="15" hidden="false" customHeight="false" outlineLevel="0" collapsed="false">
      <c r="A24" s="32" t="s">
        <v>73</v>
      </c>
      <c r="B24" s="33" t="n">
        <f aca="false">SUM(B20:B23)</f>
        <v>1</v>
      </c>
      <c r="C24" s="33" t="n">
        <f aca="false">SUM(C20:C23)</f>
        <v>2</v>
      </c>
      <c r="D24" s="33" t="n">
        <f aca="false">SUM(D20:D23)</f>
        <v>5</v>
      </c>
      <c r="E24" s="33" t="n">
        <f aca="false">SUM(E20:E23)</f>
        <v>9</v>
      </c>
      <c r="F24" s="33" t="n">
        <f aca="false">SUM(F20:F23)</f>
        <v>14</v>
      </c>
      <c r="H24" s="28" t="s">
        <v>74</v>
      </c>
      <c r="I24" s="29" t="n">
        <v>11000</v>
      </c>
      <c r="J24" s="30" t="n">
        <f aca="false">I24*12</f>
        <v>132000</v>
      </c>
    </row>
    <row r="25" customFormat="false" ht="15" hidden="false" customHeight="false" outlineLevel="0" collapsed="false">
      <c r="H25" s="28" t="s">
        <v>75</v>
      </c>
      <c r="I25" s="29" t="n">
        <v>7000</v>
      </c>
      <c r="J25" s="30" t="n">
        <f aca="false">I25*12</f>
        <v>84000</v>
      </c>
    </row>
    <row r="26" customFormat="false" ht="15" hidden="false" customHeight="false" outlineLevel="0" collapsed="false">
      <c r="A26" s="26" t="s">
        <v>76</v>
      </c>
      <c r="B26" s="27"/>
      <c r="C26" s="27"/>
      <c r="D26" s="27"/>
      <c r="E26" s="27"/>
      <c r="F26" s="27"/>
    </row>
    <row r="27" customFormat="false" ht="15" hidden="false" customHeight="false" outlineLevel="0" collapsed="false">
      <c r="A27" s="28" t="s">
        <v>65</v>
      </c>
      <c r="B27" s="31" t="n">
        <v>0</v>
      </c>
      <c r="C27" s="31" t="n">
        <v>0</v>
      </c>
      <c r="D27" s="31" t="n">
        <v>1</v>
      </c>
      <c r="E27" s="31" t="n">
        <v>1</v>
      </c>
      <c r="F27" s="31" t="n">
        <v>1</v>
      </c>
    </row>
    <row r="28" customFormat="false" ht="15" hidden="false" customHeight="false" outlineLevel="0" collapsed="false">
      <c r="A28" s="28" t="s">
        <v>66</v>
      </c>
      <c r="B28" s="31" t="n">
        <v>1</v>
      </c>
      <c r="C28" s="31" t="n">
        <v>2</v>
      </c>
      <c r="D28" s="31" t="n">
        <v>2</v>
      </c>
      <c r="E28" s="31" t="n">
        <v>4</v>
      </c>
      <c r="F28" s="31" t="n">
        <v>8</v>
      </c>
    </row>
    <row r="29" customFormat="false" ht="15" hidden="false" customHeight="false" outlineLevel="0" collapsed="false">
      <c r="A29" s="28" t="s">
        <v>68</v>
      </c>
      <c r="B29" s="31" t="n">
        <v>0</v>
      </c>
      <c r="C29" s="31" t="n">
        <v>0</v>
      </c>
      <c r="D29" s="31" t="n">
        <v>1</v>
      </c>
      <c r="E29" s="31" t="n">
        <v>2</v>
      </c>
      <c r="F29" s="31" t="n">
        <v>3</v>
      </c>
    </row>
    <row r="30" customFormat="false" ht="15" hidden="false" customHeight="false" outlineLevel="0" collapsed="false">
      <c r="A30" s="32" t="s">
        <v>77</v>
      </c>
      <c r="B30" s="33" t="n">
        <f aca="false">SUM(B27:B29)</f>
        <v>1</v>
      </c>
      <c r="C30" s="33" t="n">
        <f aca="false">SUM(C27:C29)</f>
        <v>2</v>
      </c>
      <c r="D30" s="33" t="n">
        <f aca="false">SUM(D27:D29)</f>
        <v>4</v>
      </c>
      <c r="E30" s="33" t="n">
        <f aca="false">SUM(E27:E29)</f>
        <v>7</v>
      </c>
      <c r="F30" s="33" t="n">
        <f aca="false">SUM(F27:F29)</f>
        <v>12</v>
      </c>
    </row>
    <row r="32" customFormat="false" ht="15" hidden="false" customHeight="false" outlineLevel="0" collapsed="false">
      <c r="A32" s="26" t="s">
        <v>78</v>
      </c>
      <c r="B32" s="27"/>
      <c r="C32" s="27"/>
      <c r="D32" s="27"/>
      <c r="E32" s="27"/>
      <c r="F32" s="27"/>
    </row>
    <row r="33" customFormat="false" ht="15" hidden="false" customHeight="false" outlineLevel="0" collapsed="false">
      <c r="A33" s="28" t="s">
        <v>69</v>
      </c>
      <c r="B33" s="31" t="n">
        <v>0</v>
      </c>
      <c r="C33" s="31" t="n">
        <v>0</v>
      </c>
      <c r="D33" s="31" t="n">
        <v>1</v>
      </c>
      <c r="E33" s="31" t="n">
        <v>1</v>
      </c>
      <c r="F33" s="31" t="n">
        <v>1</v>
      </c>
    </row>
    <row r="34" customFormat="false" ht="15" hidden="false" customHeight="false" outlineLevel="0" collapsed="false">
      <c r="A34" s="28" t="s">
        <v>70</v>
      </c>
      <c r="B34" s="31" t="n">
        <v>0</v>
      </c>
      <c r="C34" s="31" t="n">
        <v>1</v>
      </c>
      <c r="D34" s="31" t="n">
        <v>2</v>
      </c>
      <c r="E34" s="31" t="n">
        <v>3</v>
      </c>
      <c r="F34" s="31" t="n">
        <v>5</v>
      </c>
    </row>
    <row r="35" customFormat="false" ht="15" hidden="false" customHeight="false" outlineLevel="0" collapsed="false">
      <c r="A35" s="28" t="s">
        <v>71</v>
      </c>
      <c r="B35" s="31" t="n">
        <v>0</v>
      </c>
      <c r="C35" s="31" t="n">
        <v>0</v>
      </c>
      <c r="D35" s="31" t="n">
        <v>1</v>
      </c>
      <c r="E35" s="31" t="n">
        <v>1</v>
      </c>
      <c r="F35" s="31" t="n">
        <v>2</v>
      </c>
    </row>
    <row r="36" customFormat="false" ht="15" hidden="false" customHeight="false" outlineLevel="0" collapsed="false">
      <c r="A36" s="32" t="s">
        <v>79</v>
      </c>
      <c r="B36" s="33" t="n">
        <f aca="false">SUM(B33:B35)</f>
        <v>0</v>
      </c>
      <c r="C36" s="33" t="n">
        <f aca="false">SUM(C33:C35)</f>
        <v>1</v>
      </c>
      <c r="D36" s="33" t="n">
        <f aca="false">SUM(D33:D35)</f>
        <v>4</v>
      </c>
      <c r="E36" s="33" t="n">
        <f aca="false">SUM(E33:E35)</f>
        <v>5</v>
      </c>
      <c r="F36" s="33" t="n">
        <f aca="false">SUM(F33:F35)</f>
        <v>8</v>
      </c>
    </row>
    <row r="38" customFormat="false" ht="15" hidden="false" customHeight="false" outlineLevel="0" collapsed="false">
      <c r="A38" s="26" t="s">
        <v>80</v>
      </c>
      <c r="B38" s="27"/>
      <c r="C38" s="27"/>
      <c r="D38" s="27"/>
      <c r="E38" s="27"/>
      <c r="F38" s="27"/>
    </row>
    <row r="39" customFormat="false" ht="15" hidden="false" customHeight="false" outlineLevel="0" collapsed="false">
      <c r="A39" s="28" t="s">
        <v>72</v>
      </c>
      <c r="B39" s="31" t="n">
        <v>0</v>
      </c>
      <c r="C39" s="31" t="n">
        <v>0</v>
      </c>
      <c r="D39" s="31" t="n">
        <v>1</v>
      </c>
      <c r="E39" s="31" t="n">
        <v>1</v>
      </c>
      <c r="F39" s="31" t="n">
        <v>1</v>
      </c>
    </row>
    <row r="40" customFormat="false" ht="15" hidden="false" customHeight="false" outlineLevel="0" collapsed="false">
      <c r="A40" s="28" t="s">
        <v>74</v>
      </c>
      <c r="B40" s="31" t="n">
        <v>0</v>
      </c>
      <c r="C40" s="31" t="n">
        <v>1</v>
      </c>
      <c r="D40" s="31" t="n">
        <v>1</v>
      </c>
      <c r="E40" s="31" t="n">
        <v>2</v>
      </c>
      <c r="F40" s="31" t="n">
        <v>3</v>
      </c>
    </row>
    <row r="41" customFormat="false" ht="15" hidden="false" customHeight="false" outlineLevel="0" collapsed="false">
      <c r="A41" s="28" t="s">
        <v>75</v>
      </c>
      <c r="B41" s="31" t="n">
        <v>0</v>
      </c>
      <c r="C41" s="31" t="n">
        <v>0</v>
      </c>
      <c r="D41" s="31" t="n">
        <v>1</v>
      </c>
      <c r="E41" s="31" t="n">
        <v>2</v>
      </c>
      <c r="F41" s="31" t="n">
        <v>3</v>
      </c>
    </row>
    <row r="42" customFormat="false" ht="15" hidden="false" customHeight="false" outlineLevel="0" collapsed="false">
      <c r="A42" s="32" t="s">
        <v>81</v>
      </c>
      <c r="B42" s="33" t="n">
        <f aca="false">SUM(B39:B41)</f>
        <v>0</v>
      </c>
      <c r="C42" s="33" t="n">
        <f aca="false">SUM(C39:C41)</f>
        <v>1</v>
      </c>
      <c r="D42" s="33" t="n">
        <f aca="false">SUM(D39:D41)</f>
        <v>3</v>
      </c>
      <c r="E42" s="33" t="n">
        <f aca="false">SUM(E39:E41)</f>
        <v>5</v>
      </c>
      <c r="F42" s="33" t="n">
        <f aca="false">SUM(F39:F41)</f>
        <v>7</v>
      </c>
    </row>
    <row r="44" customFormat="false" ht="15" hidden="false" customHeight="false" outlineLevel="0" collapsed="false">
      <c r="A44" s="34" t="s">
        <v>82</v>
      </c>
      <c r="B44" s="35" t="n">
        <f aca="false">B10+B17+B24+B30+B36+B42</f>
        <v>5</v>
      </c>
      <c r="C44" s="35" t="n">
        <f aca="false">C10+C17+C24+C30+C36+C42</f>
        <v>14</v>
      </c>
      <c r="D44" s="35" t="n">
        <f aca="false">D10+D17+D24+D30+D36+D42</f>
        <v>28</v>
      </c>
      <c r="E44" s="35" t="n">
        <f aca="false">E10+E17+E24+E30+E36+E42</f>
        <v>42</v>
      </c>
      <c r="F44" s="35" t="n">
        <f aca="false">F10+F17+F24+F30+F36+F42</f>
        <v>62</v>
      </c>
    </row>
    <row r="47" customFormat="false" ht="15" hidden="false" customHeight="false" outlineLevel="0" collapsed="false">
      <c r="A47" s="36" t="s">
        <v>83</v>
      </c>
    </row>
    <row r="48" customFormat="false" ht="28.35" hidden="false" customHeight="false" outlineLevel="0" collapsed="false">
      <c r="A48" s="24" t="s">
        <v>43</v>
      </c>
      <c r="B48" s="24" t="s">
        <v>84</v>
      </c>
      <c r="C48" s="24" t="s">
        <v>20</v>
      </c>
      <c r="D48" s="24" t="s">
        <v>21</v>
      </c>
      <c r="E48" s="24" t="s">
        <v>2</v>
      </c>
      <c r="F48" s="24" t="s">
        <v>22</v>
      </c>
      <c r="G48" s="24" t="s">
        <v>23</v>
      </c>
    </row>
    <row r="49" customFormat="false" ht="15" hidden="false" customHeight="false" outlineLevel="0" collapsed="false">
      <c r="A49" s="37" t="s">
        <v>46</v>
      </c>
      <c r="B49" s="27"/>
      <c r="C49" s="27"/>
      <c r="D49" s="27"/>
      <c r="E49" s="27"/>
      <c r="F49" s="27"/>
      <c r="G49" s="27"/>
    </row>
    <row r="50" customFormat="false" ht="15" hidden="false" customHeight="false" outlineLevel="0" collapsed="false">
      <c r="A50" s="28" t="s">
        <v>47</v>
      </c>
      <c r="B50" s="29" t="n">
        <v>420000</v>
      </c>
      <c r="C50" s="38" t="n">
        <f aca="false">B3*$B50</f>
        <v>420000</v>
      </c>
      <c r="D50" s="38" t="n">
        <f aca="false">C3*$B50</f>
        <v>420000</v>
      </c>
      <c r="E50" s="38" t="n">
        <f aca="false">D3*$B50</f>
        <v>420000</v>
      </c>
      <c r="F50" s="38" t="n">
        <f aca="false">E3*$B50</f>
        <v>420000</v>
      </c>
      <c r="G50" s="38" t="n">
        <f aca="false">F3*$B50</f>
        <v>420000</v>
      </c>
    </row>
    <row r="51" customFormat="false" ht="15" hidden="false" customHeight="false" outlineLevel="0" collapsed="false">
      <c r="A51" s="28" t="s">
        <v>48</v>
      </c>
      <c r="B51" s="29" t="n">
        <v>336000</v>
      </c>
      <c r="C51" s="38" t="n">
        <f aca="false">B4*$B51</f>
        <v>0</v>
      </c>
      <c r="D51" s="38" t="n">
        <f aca="false">C4*$B51</f>
        <v>0</v>
      </c>
      <c r="E51" s="38" t="n">
        <f aca="false">D4*$B51</f>
        <v>336000</v>
      </c>
      <c r="F51" s="38" t="n">
        <f aca="false">E4*$B51</f>
        <v>336000</v>
      </c>
      <c r="G51" s="38" t="n">
        <f aca="false">F4*$B51</f>
        <v>336000</v>
      </c>
    </row>
    <row r="52" customFormat="false" ht="15" hidden="false" customHeight="false" outlineLevel="0" collapsed="false">
      <c r="A52" s="28" t="s">
        <v>49</v>
      </c>
      <c r="B52" s="29" t="n">
        <v>336000</v>
      </c>
      <c r="C52" s="38" t="n">
        <f aca="false">B5*$B52</f>
        <v>0</v>
      </c>
      <c r="D52" s="38" t="n">
        <f aca="false">C5*$B52</f>
        <v>336000</v>
      </c>
      <c r="E52" s="38" t="n">
        <f aca="false">D5*$B52</f>
        <v>336000</v>
      </c>
      <c r="F52" s="38" t="n">
        <f aca="false">E5*$B52</f>
        <v>336000</v>
      </c>
      <c r="G52" s="38" t="n">
        <f aca="false">F5*$B52</f>
        <v>336000</v>
      </c>
    </row>
    <row r="53" customFormat="false" ht="15" hidden="false" customHeight="false" outlineLevel="0" collapsed="false">
      <c r="A53" s="28" t="s">
        <v>50</v>
      </c>
      <c r="B53" s="29" t="n">
        <v>360000</v>
      </c>
      <c r="C53" s="38" t="n">
        <f aca="false">B6*$B53</f>
        <v>0</v>
      </c>
      <c r="D53" s="38" t="n">
        <f aca="false">C6*$B53</f>
        <v>360000</v>
      </c>
      <c r="E53" s="38" t="n">
        <f aca="false">D6*$B53</f>
        <v>360000</v>
      </c>
      <c r="F53" s="38" t="n">
        <f aca="false">E6*$B53</f>
        <v>360000</v>
      </c>
      <c r="G53" s="38" t="n">
        <f aca="false">F6*$B53</f>
        <v>360000</v>
      </c>
    </row>
    <row r="54" customFormat="false" ht="15" hidden="false" customHeight="false" outlineLevel="0" collapsed="false">
      <c r="A54" s="28" t="s">
        <v>51</v>
      </c>
      <c r="B54" s="29" t="n">
        <v>300000</v>
      </c>
      <c r="C54" s="38" t="n">
        <f aca="false">B7*$B54</f>
        <v>0</v>
      </c>
      <c r="D54" s="38" t="n">
        <f aca="false">C7*$B54</f>
        <v>0</v>
      </c>
      <c r="E54" s="38" t="n">
        <f aca="false">D7*$B54</f>
        <v>300000</v>
      </c>
      <c r="F54" s="38" t="n">
        <f aca="false">E7*$B54</f>
        <v>300000</v>
      </c>
      <c r="G54" s="38" t="n">
        <f aca="false">F7*$B54</f>
        <v>300000</v>
      </c>
    </row>
    <row r="55" customFormat="false" ht="15" hidden="false" customHeight="false" outlineLevel="0" collapsed="false">
      <c r="A55" s="28" t="s">
        <v>52</v>
      </c>
      <c r="B55" s="29" t="n">
        <v>264000</v>
      </c>
      <c r="C55" s="38" t="n">
        <f aca="false">B8*$B55</f>
        <v>0</v>
      </c>
      <c r="D55" s="38" t="n">
        <f aca="false">C8*$B55</f>
        <v>0</v>
      </c>
      <c r="E55" s="38" t="n">
        <f aca="false">D8*$B55</f>
        <v>0</v>
      </c>
      <c r="F55" s="38" t="n">
        <f aca="false">E8*$B55</f>
        <v>264000</v>
      </c>
      <c r="G55" s="38" t="n">
        <f aca="false">F8*$B55</f>
        <v>264000</v>
      </c>
    </row>
    <row r="56" customFormat="false" ht="15" hidden="false" customHeight="false" outlineLevel="0" collapsed="false">
      <c r="A56" s="28" t="s">
        <v>53</v>
      </c>
      <c r="B56" s="29" t="n">
        <v>264000</v>
      </c>
      <c r="C56" s="38" t="n">
        <f aca="false">B9*$B56</f>
        <v>0</v>
      </c>
      <c r="D56" s="38" t="n">
        <f aca="false">C9*$B56</f>
        <v>0</v>
      </c>
      <c r="E56" s="38" t="n">
        <f aca="false">D9*$B56</f>
        <v>0</v>
      </c>
      <c r="F56" s="38" t="n">
        <f aca="false">E9*$B56</f>
        <v>264000</v>
      </c>
      <c r="G56" s="38" t="n">
        <f aca="false">F9*$B56</f>
        <v>264000</v>
      </c>
    </row>
    <row r="57" customFormat="false" ht="15" hidden="false" customHeight="false" outlineLevel="0" collapsed="false">
      <c r="A57" s="32" t="s">
        <v>85</v>
      </c>
      <c r="C57" s="39" t="n">
        <f aca="false">SUM(C50:C56)</f>
        <v>420000</v>
      </c>
      <c r="D57" s="39" t="n">
        <f aca="false">SUM(D50:D56)</f>
        <v>1116000</v>
      </c>
      <c r="E57" s="39" t="n">
        <f aca="false">SUM(E50:E56)</f>
        <v>1752000</v>
      </c>
      <c r="F57" s="39" t="n">
        <f aca="false">SUM(F50:F56)</f>
        <v>2280000</v>
      </c>
      <c r="G57" s="39" t="n">
        <f aca="false">SUM(G50:G56)</f>
        <v>2280000</v>
      </c>
    </row>
    <row r="59" customFormat="false" ht="15" hidden="false" customHeight="false" outlineLevel="0" collapsed="false">
      <c r="A59" s="37" t="s">
        <v>58</v>
      </c>
      <c r="B59" s="27"/>
      <c r="C59" s="27"/>
      <c r="D59" s="27"/>
      <c r="E59" s="27"/>
      <c r="F59" s="27"/>
      <c r="G59" s="27"/>
    </row>
    <row r="60" customFormat="false" ht="15" hidden="false" customHeight="false" outlineLevel="0" collapsed="false">
      <c r="A60" s="28" t="s">
        <v>54</v>
      </c>
      <c r="B60" s="29" t="n">
        <v>240000</v>
      </c>
      <c r="C60" s="38" t="n">
        <f aca="false">B13*$B60</f>
        <v>0</v>
      </c>
      <c r="D60" s="38" t="n">
        <f aca="false">C13*$B60</f>
        <v>240000</v>
      </c>
      <c r="E60" s="38" t="n">
        <f aca="false">D13*$B60</f>
        <v>240000</v>
      </c>
      <c r="F60" s="38" t="n">
        <f aca="false">E13*$B60</f>
        <v>240000</v>
      </c>
      <c r="G60" s="38" t="n">
        <f aca="false">F13*$B60</f>
        <v>240000</v>
      </c>
    </row>
    <row r="61" customFormat="false" ht="15" hidden="false" customHeight="false" outlineLevel="0" collapsed="false">
      <c r="A61" s="28" t="s">
        <v>56</v>
      </c>
      <c r="B61" s="29" t="n">
        <v>108000</v>
      </c>
      <c r="C61" s="38" t="n">
        <f aca="false">B14*$B61</f>
        <v>216000</v>
      </c>
      <c r="D61" s="38" t="n">
        <f aca="false">C14*$B61</f>
        <v>324000</v>
      </c>
      <c r="E61" s="38" t="n">
        <f aca="false">D14*$B61</f>
        <v>432000</v>
      </c>
      <c r="F61" s="38" t="n">
        <f aca="false">E14*$B61</f>
        <v>540000</v>
      </c>
      <c r="G61" s="38" t="n">
        <f aca="false">F14*$B61</f>
        <v>864000</v>
      </c>
    </row>
    <row r="62" customFormat="false" ht="15" hidden="false" customHeight="false" outlineLevel="0" collapsed="false">
      <c r="A62" s="28" t="s">
        <v>57</v>
      </c>
      <c r="B62" s="29" t="n">
        <v>132000</v>
      </c>
      <c r="C62" s="38" t="n">
        <f aca="false">B15*$B62</f>
        <v>0</v>
      </c>
      <c r="D62" s="38" t="n">
        <f aca="false">C15*$B62</f>
        <v>132000</v>
      </c>
      <c r="E62" s="38" t="n">
        <f aca="false">D15*$B62</f>
        <v>132000</v>
      </c>
      <c r="F62" s="38" t="n">
        <f aca="false">E15*$B62</f>
        <v>264000</v>
      </c>
      <c r="G62" s="38" t="n">
        <f aca="false">F15*$B62</f>
        <v>396000</v>
      </c>
    </row>
    <row r="63" customFormat="false" ht="15" hidden="false" customHeight="false" outlineLevel="0" collapsed="false">
      <c r="A63" s="28" t="s">
        <v>59</v>
      </c>
      <c r="B63" s="29" t="n">
        <v>96000</v>
      </c>
      <c r="C63" s="38" t="n">
        <f aca="false">B16*$B63</f>
        <v>0</v>
      </c>
      <c r="D63" s="38" t="n">
        <f aca="false">C16*$B63</f>
        <v>0</v>
      </c>
      <c r="E63" s="38" t="n">
        <f aca="false">D16*$B63</f>
        <v>96000</v>
      </c>
      <c r="F63" s="38" t="n">
        <f aca="false">E16*$B63</f>
        <v>96000</v>
      </c>
      <c r="G63" s="38" t="n">
        <f aca="false">F16*$B63</f>
        <v>192000</v>
      </c>
    </row>
    <row r="64" customFormat="false" ht="15" hidden="false" customHeight="false" outlineLevel="0" collapsed="false">
      <c r="A64" s="32" t="s">
        <v>86</v>
      </c>
      <c r="C64" s="39" t="n">
        <f aca="false">SUM(C60:C63)</f>
        <v>216000</v>
      </c>
      <c r="D64" s="39" t="n">
        <f aca="false">SUM(D60:D63)</f>
        <v>696000</v>
      </c>
      <c r="E64" s="39" t="n">
        <f aca="false">SUM(E60:E63)</f>
        <v>900000</v>
      </c>
      <c r="F64" s="39" t="n">
        <f aca="false">SUM(F60:F63)</f>
        <v>1140000</v>
      </c>
      <c r="G64" s="39" t="n">
        <f aca="false">SUM(G60:G63)</f>
        <v>1692000</v>
      </c>
    </row>
    <row r="66" customFormat="false" ht="15" hidden="false" customHeight="false" outlineLevel="0" collapsed="false">
      <c r="A66" s="37" t="s">
        <v>67</v>
      </c>
      <c r="B66" s="27"/>
      <c r="C66" s="27"/>
      <c r="D66" s="27"/>
      <c r="E66" s="27"/>
      <c r="F66" s="27"/>
      <c r="G66" s="27"/>
    </row>
    <row r="67" customFormat="false" ht="15" hidden="false" customHeight="false" outlineLevel="0" collapsed="false">
      <c r="A67" s="28" t="s">
        <v>60</v>
      </c>
      <c r="B67" s="29" t="n">
        <v>264000</v>
      </c>
      <c r="C67" s="38" t="n">
        <f aca="false">B20*$B67</f>
        <v>0</v>
      </c>
      <c r="D67" s="38" t="n">
        <f aca="false">C20*$B67</f>
        <v>0</v>
      </c>
      <c r="E67" s="38" t="n">
        <f aca="false">D20*$B67</f>
        <v>264000</v>
      </c>
      <c r="F67" s="38" t="n">
        <f aca="false">E20*$B67</f>
        <v>264000</v>
      </c>
      <c r="G67" s="38" t="n">
        <f aca="false">F20*$B67</f>
        <v>264000</v>
      </c>
    </row>
    <row r="68" customFormat="false" ht="15" hidden="false" customHeight="false" outlineLevel="0" collapsed="false">
      <c r="A68" s="28" t="s">
        <v>61</v>
      </c>
      <c r="B68" s="29" t="n">
        <v>144000</v>
      </c>
      <c r="C68" s="38" t="n">
        <f aca="false">B21*$B68</f>
        <v>144000</v>
      </c>
      <c r="D68" s="38" t="n">
        <f aca="false">C21*$B68</f>
        <v>144000</v>
      </c>
      <c r="E68" s="38" t="n">
        <f aca="false">D21*$B68</f>
        <v>144000</v>
      </c>
      <c r="F68" s="38" t="n">
        <f aca="false">E21*$B68</f>
        <v>432000</v>
      </c>
      <c r="G68" s="38" t="n">
        <f aca="false">F21*$B68</f>
        <v>720000</v>
      </c>
    </row>
    <row r="69" customFormat="false" ht="15" hidden="false" customHeight="false" outlineLevel="0" collapsed="false">
      <c r="A69" s="28" t="s">
        <v>62</v>
      </c>
      <c r="B69" s="29" t="n">
        <v>180000</v>
      </c>
      <c r="C69" s="38" t="n">
        <f aca="false">B22*$B69</f>
        <v>0</v>
      </c>
      <c r="D69" s="38" t="n">
        <f aca="false">C22*$B69</f>
        <v>180000</v>
      </c>
      <c r="E69" s="38" t="n">
        <f aca="false">D22*$B69</f>
        <v>360000</v>
      </c>
      <c r="F69" s="38" t="n">
        <f aca="false">E22*$B69</f>
        <v>540000</v>
      </c>
      <c r="G69" s="38" t="n">
        <f aca="false">F22*$B69</f>
        <v>900000</v>
      </c>
    </row>
    <row r="70" customFormat="false" ht="15" hidden="false" customHeight="false" outlineLevel="0" collapsed="false">
      <c r="A70" s="28" t="s">
        <v>63</v>
      </c>
      <c r="B70" s="29" t="n">
        <v>180000</v>
      </c>
      <c r="C70" s="38" t="n">
        <f aca="false">B23*$B70</f>
        <v>0</v>
      </c>
      <c r="D70" s="38" t="n">
        <f aca="false">C23*$B70</f>
        <v>0</v>
      </c>
      <c r="E70" s="38" t="n">
        <f aca="false">D23*$B70</f>
        <v>180000</v>
      </c>
      <c r="F70" s="38" t="n">
        <f aca="false">E23*$B70</f>
        <v>360000</v>
      </c>
      <c r="G70" s="38" t="n">
        <f aca="false">F23*$B70</f>
        <v>540000</v>
      </c>
    </row>
    <row r="71" customFormat="false" ht="15" hidden="false" customHeight="false" outlineLevel="0" collapsed="false">
      <c r="A71" s="32" t="s">
        <v>87</v>
      </c>
      <c r="C71" s="39" t="n">
        <f aca="false">SUM(C67:C70)</f>
        <v>144000</v>
      </c>
      <c r="D71" s="39" t="n">
        <f aca="false">SUM(D67:D70)</f>
        <v>324000</v>
      </c>
      <c r="E71" s="39" t="n">
        <f aca="false">SUM(E67:E70)</f>
        <v>948000</v>
      </c>
      <c r="F71" s="39" t="n">
        <f aca="false">SUM(F67:F70)</f>
        <v>1596000</v>
      </c>
      <c r="G71" s="39" t="n">
        <f aca="false">SUM(G67:G70)</f>
        <v>2424000</v>
      </c>
    </row>
    <row r="73" customFormat="false" ht="15" hidden="false" customHeight="false" outlineLevel="0" collapsed="false">
      <c r="A73" s="37" t="s">
        <v>76</v>
      </c>
      <c r="B73" s="27"/>
      <c r="C73" s="27"/>
      <c r="D73" s="27"/>
      <c r="E73" s="27"/>
      <c r="F73" s="27"/>
      <c r="G73" s="27"/>
    </row>
    <row r="74" customFormat="false" ht="15" hidden="false" customHeight="false" outlineLevel="0" collapsed="false">
      <c r="A74" s="28" t="s">
        <v>65</v>
      </c>
      <c r="B74" s="29" t="n">
        <v>216000</v>
      </c>
      <c r="C74" s="38" t="n">
        <f aca="false">B27*$B74</f>
        <v>0</v>
      </c>
      <c r="D74" s="38" t="n">
        <f aca="false">C27*$B74</f>
        <v>0</v>
      </c>
      <c r="E74" s="38" t="n">
        <f aca="false">D27*$B74</f>
        <v>216000</v>
      </c>
      <c r="F74" s="38" t="n">
        <f aca="false">E27*$B74</f>
        <v>216000</v>
      </c>
      <c r="G74" s="38" t="n">
        <f aca="false">F27*$B74</f>
        <v>216000</v>
      </c>
    </row>
    <row r="75" customFormat="false" ht="15" hidden="false" customHeight="false" outlineLevel="0" collapsed="false">
      <c r="A75" s="28" t="s">
        <v>66</v>
      </c>
      <c r="B75" s="29" t="n">
        <v>86400</v>
      </c>
      <c r="C75" s="38" t="n">
        <f aca="false">B28*$B75</f>
        <v>86400</v>
      </c>
      <c r="D75" s="38" t="n">
        <f aca="false">C28*$B75</f>
        <v>172800</v>
      </c>
      <c r="E75" s="38" t="n">
        <f aca="false">D28*$B75</f>
        <v>172800</v>
      </c>
      <c r="F75" s="38" t="n">
        <f aca="false">E28*$B75</f>
        <v>345600</v>
      </c>
      <c r="G75" s="38" t="n">
        <f aca="false">F28*$B75</f>
        <v>691200</v>
      </c>
    </row>
    <row r="76" customFormat="false" ht="15" hidden="false" customHeight="false" outlineLevel="0" collapsed="false">
      <c r="A76" s="28" t="s">
        <v>68</v>
      </c>
      <c r="B76" s="29" t="n">
        <v>108000</v>
      </c>
      <c r="C76" s="38" t="n">
        <f aca="false">B29*$B76</f>
        <v>0</v>
      </c>
      <c r="D76" s="38" t="n">
        <f aca="false">C29*$B76</f>
        <v>0</v>
      </c>
      <c r="E76" s="38" t="n">
        <f aca="false">D29*$B76</f>
        <v>108000</v>
      </c>
      <c r="F76" s="38" t="n">
        <f aca="false">E29*$B76</f>
        <v>216000</v>
      </c>
      <c r="G76" s="38" t="n">
        <f aca="false">F29*$B76</f>
        <v>324000</v>
      </c>
    </row>
    <row r="77" customFormat="false" ht="15" hidden="false" customHeight="false" outlineLevel="0" collapsed="false">
      <c r="A77" s="32" t="s">
        <v>88</v>
      </c>
      <c r="C77" s="39" t="n">
        <f aca="false">SUM(C74:C76)</f>
        <v>86400</v>
      </c>
      <c r="D77" s="39" t="n">
        <f aca="false">SUM(D74:D76)</f>
        <v>172800</v>
      </c>
      <c r="E77" s="39" t="n">
        <f aca="false">SUM(E74:E76)</f>
        <v>496800</v>
      </c>
      <c r="F77" s="39" t="n">
        <f aca="false">SUM(F74:F76)</f>
        <v>777600</v>
      </c>
      <c r="G77" s="39" t="n">
        <f aca="false">SUM(G74:G76)</f>
        <v>1231200</v>
      </c>
    </row>
    <row r="79" customFormat="false" ht="15" hidden="false" customHeight="false" outlineLevel="0" collapsed="false">
      <c r="A79" s="37" t="s">
        <v>78</v>
      </c>
      <c r="B79" s="27"/>
      <c r="C79" s="27"/>
      <c r="D79" s="27"/>
      <c r="E79" s="27"/>
      <c r="F79" s="27"/>
      <c r="G79" s="27"/>
    </row>
    <row r="80" customFormat="false" ht="15" hidden="false" customHeight="false" outlineLevel="0" collapsed="false">
      <c r="A80" s="28" t="s">
        <v>69</v>
      </c>
      <c r="B80" s="29" t="n">
        <v>240000</v>
      </c>
      <c r="C80" s="38" t="n">
        <f aca="false">B33*$B80</f>
        <v>0</v>
      </c>
      <c r="D80" s="38" t="n">
        <f aca="false">C33*$B80</f>
        <v>0</v>
      </c>
      <c r="E80" s="38" t="n">
        <f aca="false">D33*$B80</f>
        <v>240000</v>
      </c>
      <c r="F80" s="38" t="n">
        <f aca="false">E33*$B80</f>
        <v>240000</v>
      </c>
      <c r="G80" s="38" t="n">
        <f aca="false">F33*$B80</f>
        <v>240000</v>
      </c>
    </row>
    <row r="81" customFormat="false" ht="15" hidden="false" customHeight="false" outlineLevel="0" collapsed="false">
      <c r="A81" s="28" t="s">
        <v>70</v>
      </c>
      <c r="B81" s="29" t="n">
        <v>120000</v>
      </c>
      <c r="C81" s="38" t="n">
        <f aca="false">B34*$B81</f>
        <v>0</v>
      </c>
      <c r="D81" s="38" t="n">
        <f aca="false">C34*$B81</f>
        <v>120000</v>
      </c>
      <c r="E81" s="38" t="n">
        <f aca="false">D34*$B81</f>
        <v>240000</v>
      </c>
      <c r="F81" s="38" t="n">
        <f aca="false">E34*$B81</f>
        <v>360000</v>
      </c>
      <c r="G81" s="38" t="n">
        <f aca="false">F34*$B81</f>
        <v>600000</v>
      </c>
    </row>
    <row r="82" customFormat="false" ht="15" hidden="false" customHeight="false" outlineLevel="0" collapsed="false">
      <c r="A82" s="28" t="s">
        <v>71</v>
      </c>
      <c r="B82" s="29" t="n">
        <v>108000</v>
      </c>
      <c r="C82" s="38" t="n">
        <f aca="false">B35*$B82</f>
        <v>0</v>
      </c>
      <c r="D82" s="38" t="n">
        <f aca="false">C35*$B82</f>
        <v>0</v>
      </c>
      <c r="E82" s="38" t="n">
        <f aca="false">D35*$B82</f>
        <v>108000</v>
      </c>
      <c r="F82" s="38" t="n">
        <f aca="false">E35*$B82</f>
        <v>108000</v>
      </c>
      <c r="G82" s="38" t="n">
        <f aca="false">F35*$B82</f>
        <v>216000</v>
      </c>
    </row>
    <row r="83" customFormat="false" ht="15" hidden="false" customHeight="false" outlineLevel="0" collapsed="false">
      <c r="A83" s="32" t="s">
        <v>89</v>
      </c>
      <c r="C83" s="39" t="n">
        <f aca="false">SUM(C80:C82)</f>
        <v>0</v>
      </c>
      <c r="D83" s="39" t="n">
        <f aca="false">SUM(D80:D82)</f>
        <v>120000</v>
      </c>
      <c r="E83" s="39" t="n">
        <f aca="false">SUM(E80:E82)</f>
        <v>588000</v>
      </c>
      <c r="F83" s="39" t="n">
        <f aca="false">SUM(F80:F82)</f>
        <v>708000</v>
      </c>
      <c r="G83" s="39" t="n">
        <f aca="false">SUM(G80:G82)</f>
        <v>1056000</v>
      </c>
    </row>
    <row r="85" customFormat="false" ht="15" hidden="false" customHeight="false" outlineLevel="0" collapsed="false">
      <c r="A85" s="37" t="s">
        <v>80</v>
      </c>
      <c r="B85" s="27"/>
      <c r="C85" s="27"/>
      <c r="D85" s="27"/>
      <c r="E85" s="27"/>
      <c r="F85" s="27"/>
      <c r="G85" s="27"/>
    </row>
    <row r="86" customFormat="false" ht="15" hidden="false" customHeight="false" outlineLevel="0" collapsed="false">
      <c r="A86" s="28" t="s">
        <v>72</v>
      </c>
      <c r="B86" s="29" t="n">
        <v>240000</v>
      </c>
      <c r="C86" s="38" t="n">
        <f aca="false">B39*$B86</f>
        <v>0</v>
      </c>
      <c r="D86" s="38" t="n">
        <f aca="false">C39*$B86</f>
        <v>0</v>
      </c>
      <c r="E86" s="38" t="n">
        <f aca="false">D39*$B86</f>
        <v>240000</v>
      </c>
      <c r="F86" s="38" t="n">
        <f aca="false">E39*$B86</f>
        <v>240000</v>
      </c>
      <c r="G86" s="38" t="n">
        <f aca="false">F39*$B86</f>
        <v>240000</v>
      </c>
    </row>
    <row r="87" customFormat="false" ht="15" hidden="false" customHeight="false" outlineLevel="0" collapsed="false">
      <c r="A87" s="28" t="s">
        <v>74</v>
      </c>
      <c r="B87" s="29" t="n">
        <v>132000</v>
      </c>
      <c r="C87" s="38" t="n">
        <f aca="false">B40*$B87</f>
        <v>0</v>
      </c>
      <c r="D87" s="38" t="n">
        <f aca="false">C40*$B87</f>
        <v>132000</v>
      </c>
      <c r="E87" s="38" t="n">
        <f aca="false">D40*$B87</f>
        <v>132000</v>
      </c>
      <c r="F87" s="38" t="n">
        <f aca="false">E40*$B87</f>
        <v>264000</v>
      </c>
      <c r="G87" s="38" t="n">
        <f aca="false">F40*$B87</f>
        <v>396000</v>
      </c>
    </row>
    <row r="88" customFormat="false" ht="15" hidden="false" customHeight="false" outlineLevel="0" collapsed="false">
      <c r="A88" s="28" t="s">
        <v>75</v>
      </c>
      <c r="B88" s="29" t="n">
        <v>84000</v>
      </c>
      <c r="C88" s="38" t="n">
        <f aca="false">B41*$B88</f>
        <v>0</v>
      </c>
      <c r="D88" s="38" t="n">
        <f aca="false">C41*$B88</f>
        <v>0</v>
      </c>
      <c r="E88" s="38" t="n">
        <f aca="false">D41*$B88</f>
        <v>84000</v>
      </c>
      <c r="F88" s="38" t="n">
        <f aca="false">E41*$B88</f>
        <v>168000</v>
      </c>
      <c r="G88" s="38" t="n">
        <f aca="false">F41*$B88</f>
        <v>252000</v>
      </c>
    </row>
    <row r="89" customFormat="false" ht="15" hidden="false" customHeight="false" outlineLevel="0" collapsed="false">
      <c r="A89" s="32" t="s">
        <v>90</v>
      </c>
      <c r="C89" s="39" t="n">
        <f aca="false">SUM(C86:C88)</f>
        <v>0</v>
      </c>
      <c r="D89" s="39" t="n">
        <f aca="false">SUM(D86:D88)</f>
        <v>132000</v>
      </c>
      <c r="E89" s="39" t="n">
        <f aca="false">SUM(E86:E88)</f>
        <v>456000</v>
      </c>
      <c r="F89" s="39" t="n">
        <f aca="false">SUM(F86:F88)</f>
        <v>672000</v>
      </c>
      <c r="G89" s="39" t="n">
        <f aca="false">SUM(G86:G88)</f>
        <v>888000</v>
      </c>
    </row>
    <row r="91" customFormat="false" ht="15" hidden="false" customHeight="false" outlineLevel="0" collapsed="false">
      <c r="A91" s="34" t="s">
        <v>91</v>
      </c>
      <c r="B91" s="40"/>
      <c r="C91" s="41" t="n">
        <f aca="false">C57+C64+C71+C77+C83+C89</f>
        <v>866400</v>
      </c>
      <c r="D91" s="41" t="n">
        <f aca="false">D57+D64+D71+D77+D83+D89</f>
        <v>2560800</v>
      </c>
      <c r="E91" s="41" t="n">
        <f aca="false">E57+E64+E71+E77+E83+E89</f>
        <v>5140800</v>
      </c>
      <c r="F91" s="41" t="n">
        <f aca="false">F57+F64+F71+F77+F83+F89</f>
        <v>7173600</v>
      </c>
      <c r="G91" s="41" t="n">
        <f aca="false">G57+G64+G71+G77+G83+G89</f>
        <v>9571200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42" t="s">
        <v>92</v>
      </c>
    </row>
    <row r="3" customFormat="false" ht="15" hidden="false" customHeight="false" outlineLevel="0" collapsed="false">
      <c r="A3" s="24" t="s">
        <v>93</v>
      </c>
      <c r="B3" s="24" t="s">
        <v>94</v>
      </c>
      <c r="C3" s="24" t="s">
        <v>20</v>
      </c>
      <c r="D3" s="24" t="s">
        <v>21</v>
      </c>
      <c r="E3" s="24" t="s">
        <v>2</v>
      </c>
      <c r="F3" s="24" t="s">
        <v>22</v>
      </c>
      <c r="G3" s="24" t="s">
        <v>23</v>
      </c>
    </row>
    <row r="4" customFormat="false" ht="15" hidden="false" customHeight="false" outlineLevel="0" collapsed="false">
      <c r="A4" s="28" t="s">
        <v>95</v>
      </c>
      <c r="B4" s="28" t="s">
        <v>96</v>
      </c>
      <c r="C4" s="29" t="n">
        <v>144000</v>
      </c>
      <c r="D4" s="29" t="n">
        <v>240000</v>
      </c>
      <c r="E4" s="29" t="n">
        <v>480000</v>
      </c>
      <c r="F4" s="29" t="n">
        <v>960000</v>
      </c>
      <c r="G4" s="29" t="n">
        <v>2400000</v>
      </c>
    </row>
    <row r="5" customFormat="false" ht="15" hidden="false" customHeight="false" outlineLevel="0" collapsed="false">
      <c r="A5" s="28" t="s">
        <v>97</v>
      </c>
      <c r="B5" s="28" t="s">
        <v>98</v>
      </c>
      <c r="C5" s="29" t="n">
        <v>60000</v>
      </c>
      <c r="D5" s="29" t="n">
        <v>120000</v>
      </c>
      <c r="E5" s="29" t="n">
        <v>240000</v>
      </c>
      <c r="F5" s="29" t="n">
        <v>360000</v>
      </c>
      <c r="G5" s="29" t="n">
        <v>600000</v>
      </c>
    </row>
    <row r="6" customFormat="false" ht="15" hidden="false" customHeight="false" outlineLevel="0" collapsed="false">
      <c r="A6" s="28" t="s">
        <v>99</v>
      </c>
      <c r="B6" s="28" t="s">
        <v>100</v>
      </c>
      <c r="C6" s="29" t="n">
        <v>36000</v>
      </c>
      <c r="D6" s="29" t="n">
        <v>60000</v>
      </c>
      <c r="E6" s="29" t="n">
        <v>120000</v>
      </c>
      <c r="F6" s="29" t="n">
        <v>240000</v>
      </c>
      <c r="G6" s="29" t="n">
        <v>480000</v>
      </c>
    </row>
    <row r="7" customFormat="false" ht="15" hidden="false" customHeight="false" outlineLevel="0" collapsed="false">
      <c r="A7" s="43" t="s">
        <v>101</v>
      </c>
      <c r="B7" s="44"/>
      <c r="C7" s="45" t="n">
        <f aca="false">SUM(C4:C6)</f>
        <v>240000</v>
      </c>
      <c r="D7" s="45" t="n">
        <f aca="false">SUM(D4:D6)</f>
        <v>420000</v>
      </c>
      <c r="E7" s="45" t="n">
        <f aca="false">SUM(E4:E6)</f>
        <v>840000</v>
      </c>
      <c r="F7" s="45" t="n">
        <f aca="false">SUM(F4:F6)</f>
        <v>1560000</v>
      </c>
      <c r="G7" s="45" t="n">
        <f aca="false">SUM(G4:G6)</f>
        <v>3480000</v>
      </c>
    </row>
    <row r="9" customFormat="false" ht="17.35" hidden="false" customHeight="false" outlineLevel="0" collapsed="false">
      <c r="A9" s="42" t="s">
        <v>102</v>
      </c>
    </row>
    <row r="11" customFormat="false" ht="15" hidden="false" customHeight="false" outlineLevel="0" collapsed="false">
      <c r="A11" s="24" t="s">
        <v>103</v>
      </c>
      <c r="B11" s="24" t="s">
        <v>94</v>
      </c>
      <c r="C11" s="24" t="s">
        <v>20</v>
      </c>
      <c r="D11" s="24" t="s">
        <v>21</v>
      </c>
      <c r="E11" s="24" t="s">
        <v>2</v>
      </c>
      <c r="F11" s="24" t="s">
        <v>22</v>
      </c>
      <c r="G11" s="24" t="s">
        <v>23</v>
      </c>
    </row>
    <row r="12" customFormat="false" ht="15" hidden="false" customHeight="false" outlineLevel="0" collapsed="false">
      <c r="A12" s="28" t="s">
        <v>104</v>
      </c>
      <c r="B12" s="28" t="s">
        <v>105</v>
      </c>
      <c r="C12" s="29" t="n">
        <v>250000</v>
      </c>
      <c r="D12" s="29" t="n">
        <v>500000</v>
      </c>
      <c r="E12" s="29" t="n">
        <v>750000</v>
      </c>
      <c r="F12" s="29" t="n">
        <v>750000</v>
      </c>
      <c r="G12" s="29" t="n">
        <v>1250000</v>
      </c>
    </row>
    <row r="13" customFormat="false" ht="15" hidden="false" customHeight="false" outlineLevel="0" collapsed="false">
      <c r="A13" s="28" t="s">
        <v>106</v>
      </c>
      <c r="B13" s="28" t="s">
        <v>107</v>
      </c>
      <c r="C13" s="29" t="n">
        <v>85000</v>
      </c>
      <c r="D13" s="29" t="n">
        <v>170000</v>
      </c>
      <c r="E13" s="29" t="n">
        <v>340000</v>
      </c>
      <c r="F13" s="29" t="n">
        <v>680000</v>
      </c>
      <c r="G13" s="29" t="n">
        <v>1530000</v>
      </c>
    </row>
    <row r="14" customFormat="false" ht="15" hidden="false" customHeight="false" outlineLevel="0" collapsed="false">
      <c r="A14" s="28" t="s">
        <v>108</v>
      </c>
      <c r="B14" s="28" t="s">
        <v>109</v>
      </c>
      <c r="C14" s="29" t="n">
        <v>269700</v>
      </c>
      <c r="D14" s="29" t="n">
        <v>449500</v>
      </c>
      <c r="E14" s="29" t="n">
        <v>899000</v>
      </c>
      <c r="F14" s="29" t="n">
        <v>1798000</v>
      </c>
      <c r="G14" s="29" t="n">
        <v>4495000</v>
      </c>
    </row>
    <row r="15" customFormat="false" ht="15" hidden="false" customHeight="false" outlineLevel="0" collapsed="false">
      <c r="A15" s="28" t="s">
        <v>110</v>
      </c>
      <c r="B15" s="28" t="s">
        <v>111</v>
      </c>
      <c r="C15" s="29" t="n">
        <v>75000</v>
      </c>
      <c r="D15" s="29" t="n">
        <v>210000</v>
      </c>
      <c r="E15" s="29" t="n">
        <v>420000</v>
      </c>
      <c r="F15" s="29" t="n">
        <v>630000</v>
      </c>
      <c r="G15" s="29" t="n">
        <v>930000</v>
      </c>
    </row>
    <row r="16" customFormat="false" ht="15" hidden="false" customHeight="false" outlineLevel="0" collapsed="false">
      <c r="A16" s="28" t="s">
        <v>112</v>
      </c>
      <c r="B16" s="28" t="s">
        <v>113</v>
      </c>
      <c r="C16" s="29" t="n">
        <v>120000</v>
      </c>
      <c r="D16" s="29" t="n">
        <v>120000</v>
      </c>
      <c r="E16" s="29" t="n">
        <v>240000</v>
      </c>
      <c r="F16" s="29" t="n">
        <v>360000</v>
      </c>
      <c r="G16" s="29" t="n">
        <v>600000</v>
      </c>
    </row>
    <row r="17" customFormat="false" ht="15" hidden="false" customHeight="false" outlineLevel="0" collapsed="false">
      <c r="A17" s="28" t="s">
        <v>114</v>
      </c>
      <c r="B17" s="28" t="s">
        <v>115</v>
      </c>
      <c r="C17" s="29" t="n">
        <v>50000</v>
      </c>
      <c r="D17" s="29" t="n">
        <v>140000</v>
      </c>
      <c r="E17" s="29" t="n">
        <v>280000</v>
      </c>
      <c r="F17" s="29" t="n">
        <v>420000</v>
      </c>
      <c r="G17" s="29" t="n">
        <v>620000</v>
      </c>
    </row>
    <row r="18" customFormat="false" ht="15" hidden="false" customHeight="false" outlineLevel="0" collapsed="false">
      <c r="A18" s="28" t="s">
        <v>116</v>
      </c>
      <c r="B18" s="28" t="s">
        <v>100</v>
      </c>
      <c r="C18" s="29" t="n">
        <v>100000</v>
      </c>
      <c r="D18" s="29" t="n">
        <v>150000</v>
      </c>
      <c r="E18" s="29" t="n">
        <v>250000</v>
      </c>
      <c r="F18" s="29" t="n">
        <v>400000</v>
      </c>
      <c r="G18" s="29" t="n">
        <v>800000</v>
      </c>
    </row>
    <row r="19" customFormat="false" ht="15" hidden="false" customHeight="false" outlineLevel="0" collapsed="false">
      <c r="A19" s="43" t="s">
        <v>117</v>
      </c>
      <c r="B19" s="44"/>
      <c r="C19" s="45" t="n">
        <f aca="false">SUM(C12:C18)</f>
        <v>949700</v>
      </c>
      <c r="D19" s="45" t="n">
        <f aca="false">SUM(D12:D18)</f>
        <v>1739500</v>
      </c>
      <c r="E19" s="45" t="n">
        <f aca="false">SUM(E12:E18)</f>
        <v>3179000</v>
      </c>
      <c r="F19" s="45" t="n">
        <f aca="false">SUM(F12:F18)</f>
        <v>5038000</v>
      </c>
      <c r="G19" s="45" t="n">
        <f aca="false">SUM(G12:G18)</f>
        <v>10225000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42" t="s">
        <v>118</v>
      </c>
    </row>
    <row r="3" customFormat="false" ht="15" hidden="false" customHeight="false" outlineLevel="0" collapsed="false">
      <c r="A3" s="24" t="s">
        <v>119</v>
      </c>
      <c r="B3" s="24" t="s">
        <v>120</v>
      </c>
      <c r="C3" s="24" t="s">
        <v>121</v>
      </c>
      <c r="D3" s="24" t="s">
        <v>122</v>
      </c>
    </row>
    <row r="4" customFormat="false" ht="15" hidden="false" customHeight="false" outlineLevel="0" collapsed="false">
      <c r="A4" s="28" t="s">
        <v>123</v>
      </c>
      <c r="B4" s="46" t="n">
        <v>0</v>
      </c>
      <c r="C4" s="29" t="n">
        <v>2000</v>
      </c>
      <c r="D4" s="28" t="s">
        <v>124</v>
      </c>
    </row>
    <row r="5" customFormat="false" ht="15" hidden="false" customHeight="false" outlineLevel="0" collapsed="false">
      <c r="A5" s="28" t="s">
        <v>125</v>
      </c>
      <c r="B5" s="46" t="n">
        <v>0.15</v>
      </c>
      <c r="C5" s="29" t="n">
        <v>1700</v>
      </c>
      <c r="D5" s="28" t="s">
        <v>126</v>
      </c>
    </row>
    <row r="6" customFormat="false" ht="15" hidden="false" customHeight="false" outlineLevel="0" collapsed="false">
      <c r="A6" s="28" t="s">
        <v>127</v>
      </c>
      <c r="B6" s="46" t="n">
        <v>0.3</v>
      </c>
      <c r="C6" s="29" t="n">
        <v>1400</v>
      </c>
      <c r="D6" s="28" t="s">
        <v>128</v>
      </c>
    </row>
    <row r="7" customFormat="false" ht="15" hidden="false" customHeight="false" outlineLevel="0" collapsed="false">
      <c r="A7" s="28" t="s">
        <v>129</v>
      </c>
      <c r="B7" s="46" t="n">
        <v>0.45</v>
      </c>
      <c r="C7" s="29" t="n">
        <v>1100</v>
      </c>
      <c r="D7" s="28" t="s">
        <v>128</v>
      </c>
    </row>
    <row r="10" customFormat="false" ht="17.35" hidden="false" customHeight="false" outlineLevel="0" collapsed="false">
      <c r="A10" s="42" t="s">
        <v>130</v>
      </c>
    </row>
    <row r="12" customFormat="false" ht="15" hidden="false" customHeight="false" outlineLevel="0" collapsed="false">
      <c r="A12" s="24" t="s">
        <v>131</v>
      </c>
      <c r="B12" s="24" t="s">
        <v>132</v>
      </c>
      <c r="C12" s="24" t="s">
        <v>121</v>
      </c>
      <c r="D12" s="24" t="s">
        <v>133</v>
      </c>
    </row>
    <row r="13" customFormat="false" ht="15" hidden="false" customHeight="false" outlineLevel="0" collapsed="false">
      <c r="A13" s="28" t="s">
        <v>20</v>
      </c>
      <c r="B13" s="31" t="n">
        <v>3000</v>
      </c>
      <c r="C13" s="29" t="n">
        <v>2000</v>
      </c>
      <c r="D13" s="39" t="n">
        <f aca="false">B13*C13</f>
        <v>6000000</v>
      </c>
    </row>
    <row r="14" customFormat="false" ht="15" hidden="false" customHeight="false" outlineLevel="0" collapsed="false">
      <c r="A14" s="28" t="s">
        <v>21</v>
      </c>
      <c r="B14" s="31" t="n">
        <v>5000</v>
      </c>
      <c r="C14" s="29" t="n">
        <v>2000</v>
      </c>
      <c r="D14" s="39" t="n">
        <f aca="false">B14*C14</f>
        <v>10000000</v>
      </c>
    </row>
    <row r="15" customFormat="false" ht="15" hidden="false" customHeight="false" outlineLevel="0" collapsed="false">
      <c r="A15" s="28" t="s">
        <v>2</v>
      </c>
      <c r="B15" s="31" t="n">
        <v>10000</v>
      </c>
      <c r="C15" s="29" t="n">
        <v>1700</v>
      </c>
      <c r="D15" s="39" t="n">
        <f aca="false">B15*C15</f>
        <v>17000000</v>
      </c>
    </row>
    <row r="16" customFormat="false" ht="15" hidden="false" customHeight="false" outlineLevel="0" collapsed="false">
      <c r="A16" s="28" t="s">
        <v>22</v>
      </c>
      <c r="B16" s="31" t="n">
        <v>20000</v>
      </c>
      <c r="C16" s="29" t="n">
        <v>1700</v>
      </c>
      <c r="D16" s="39" t="n">
        <f aca="false">B16*C16</f>
        <v>34000000</v>
      </c>
    </row>
    <row r="17" customFormat="false" ht="15" hidden="false" customHeight="false" outlineLevel="0" collapsed="false">
      <c r="A17" s="28" t="s">
        <v>23</v>
      </c>
      <c r="B17" s="31" t="n">
        <v>50000</v>
      </c>
      <c r="C17" s="29" t="n">
        <v>1462</v>
      </c>
      <c r="D17" s="39" t="n">
        <f aca="false">B17*C17</f>
        <v>73100000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2"/>
    <col collapsed="false" customWidth="true" hidden="false" outlineLevel="0" max="4" min="4" style="0" width="36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42" t="s">
        <v>134</v>
      </c>
    </row>
    <row r="3" customFormat="false" ht="28.35" hidden="false" customHeight="false" outlineLevel="0" collapsed="false">
      <c r="A3" s="24" t="s">
        <v>135</v>
      </c>
      <c r="B3" s="24" t="s">
        <v>136</v>
      </c>
      <c r="C3" s="24" t="s">
        <v>137</v>
      </c>
      <c r="D3" s="24" t="s">
        <v>122</v>
      </c>
      <c r="E3" s="24" t="s">
        <v>138</v>
      </c>
    </row>
    <row r="4" customFormat="false" ht="15" hidden="false" customHeight="false" outlineLevel="0" collapsed="false">
      <c r="A4" s="28" t="s">
        <v>139</v>
      </c>
      <c r="B4" s="28" t="s">
        <v>140</v>
      </c>
      <c r="C4" s="46" t="n">
        <v>1</v>
      </c>
      <c r="D4" s="28" t="s">
        <v>141</v>
      </c>
      <c r="E4" s="47" t="n">
        <v>5500</v>
      </c>
    </row>
    <row r="5" customFormat="false" ht="15" hidden="false" customHeight="false" outlineLevel="0" collapsed="false">
      <c r="A5" s="28" t="s">
        <v>142</v>
      </c>
      <c r="B5" s="28" t="s">
        <v>143</v>
      </c>
      <c r="C5" s="46" t="n">
        <v>1</v>
      </c>
      <c r="D5" s="28" t="s">
        <v>144</v>
      </c>
      <c r="E5" s="47" t="n">
        <v>700</v>
      </c>
    </row>
    <row r="6" customFormat="false" ht="15" hidden="false" customHeight="false" outlineLevel="0" collapsed="false">
      <c r="A6" s="28" t="s">
        <v>145</v>
      </c>
      <c r="B6" s="28" t="s">
        <v>146</v>
      </c>
      <c r="C6" s="46" t="n">
        <v>0.05</v>
      </c>
      <c r="D6" s="28" t="s">
        <v>147</v>
      </c>
      <c r="E6" s="47" t="n">
        <v>25</v>
      </c>
    </row>
    <row r="7" customFormat="false" ht="15" hidden="false" customHeight="false" outlineLevel="0" collapsed="false">
      <c r="A7" s="28" t="s">
        <v>148</v>
      </c>
      <c r="B7" s="28" t="s">
        <v>149</v>
      </c>
      <c r="C7" s="28" t="s">
        <v>150</v>
      </c>
      <c r="D7" s="28" t="s">
        <v>151</v>
      </c>
      <c r="E7" s="47" t="n">
        <v>90</v>
      </c>
    </row>
    <row r="8" customFormat="false" ht="15" hidden="false" customHeight="false" outlineLevel="0" collapsed="false">
      <c r="A8" s="28" t="s">
        <v>152</v>
      </c>
      <c r="B8" s="28" t="s">
        <v>153</v>
      </c>
      <c r="C8" s="28" t="s">
        <v>154</v>
      </c>
      <c r="D8" s="28" t="s">
        <v>151</v>
      </c>
      <c r="E8" s="47" t="n">
        <v>30</v>
      </c>
    </row>
    <row r="9" customFormat="false" ht="15" hidden="false" customHeight="false" outlineLevel="0" collapsed="false">
      <c r="A9" s="28" t="s">
        <v>155</v>
      </c>
      <c r="B9" s="28" t="s">
        <v>156</v>
      </c>
      <c r="C9" s="28" t="s">
        <v>157</v>
      </c>
      <c r="D9" s="28" t="s">
        <v>151</v>
      </c>
      <c r="E9" s="47" t="n">
        <v>624</v>
      </c>
    </row>
    <row r="10" customFormat="false" ht="15" hidden="false" customHeight="false" outlineLevel="0" collapsed="false">
      <c r="A10" s="28" t="s">
        <v>158</v>
      </c>
      <c r="B10" s="28" t="s">
        <v>159</v>
      </c>
      <c r="C10" s="28" t="s">
        <v>160</v>
      </c>
      <c r="D10" s="28" t="s">
        <v>151</v>
      </c>
      <c r="E10" s="47" t="n">
        <v>76.8</v>
      </c>
    </row>
    <row r="11" customFormat="false" ht="15" hidden="false" customHeight="false" outlineLevel="0" collapsed="false">
      <c r="A11" s="43" t="s">
        <v>161</v>
      </c>
      <c r="E11" s="48" t="n">
        <f aca="false">SUM(E4:E10)</f>
        <v>7045.8</v>
      </c>
    </row>
    <row r="14" customFormat="false" ht="17.35" hidden="false" customHeight="false" outlineLevel="0" collapsed="false">
      <c r="A14" s="42" t="s">
        <v>162</v>
      </c>
    </row>
    <row r="15" customFormat="false" ht="28.35" hidden="false" customHeight="false" outlineLevel="0" collapsed="false">
      <c r="A15" s="24" t="s">
        <v>163</v>
      </c>
      <c r="B15" s="24" t="s">
        <v>20</v>
      </c>
      <c r="C15" s="24" t="s">
        <v>21</v>
      </c>
      <c r="D15" s="24" t="s">
        <v>2</v>
      </c>
      <c r="E15" s="24" t="s">
        <v>22</v>
      </c>
      <c r="F15" s="24" t="s">
        <v>23</v>
      </c>
    </row>
    <row r="16" customFormat="false" ht="15" hidden="false" customHeight="false" outlineLevel="0" collapsed="false">
      <c r="A16" s="28" t="s">
        <v>25</v>
      </c>
      <c r="B16" s="38" t="n">
        <f aca="false">3000*E11</f>
        <v>21137400</v>
      </c>
      <c r="C16" s="38" t="n">
        <f aca="false">5000*E11</f>
        <v>35229000</v>
      </c>
      <c r="D16" s="38" t="n">
        <f aca="false">10000*E11</f>
        <v>70458000</v>
      </c>
      <c r="E16" s="38" t="n">
        <f aca="false">20000*E11</f>
        <v>140916000</v>
      </c>
      <c r="F16" s="38" t="n">
        <f aca="false">50000*E11</f>
        <v>352290000</v>
      </c>
    </row>
    <row r="17" customFormat="false" ht="15" hidden="false" customHeight="false" outlineLevel="0" collapsed="false">
      <c r="A17" s="28" t="s">
        <v>26</v>
      </c>
      <c r="B17" s="38" t="n">
        <f aca="false">3000*(E6+E7+E8+E9+E10)</f>
        <v>2537400</v>
      </c>
      <c r="C17" s="38" t="n">
        <f aca="false">5000*(E6+E7+E8+E9+E10)</f>
        <v>4229000</v>
      </c>
      <c r="D17" s="38" t="n">
        <f aca="false">10000*(E6+E7+E8+E9+E10)</f>
        <v>8458000</v>
      </c>
      <c r="E17" s="38" t="n">
        <f aca="false">20000*(E6+E7+E8+E9+E10)</f>
        <v>16916000</v>
      </c>
      <c r="F17" s="38" t="n">
        <f aca="false">50000*(E6+E7+E8+E9+E10)</f>
        <v>42290000</v>
      </c>
    </row>
    <row r="18" customFormat="false" ht="15" hidden="false" customHeight="false" outlineLevel="0" collapsed="false">
      <c r="A18" s="28" t="s">
        <v>27</v>
      </c>
      <c r="B18" s="38" t="n">
        <f aca="false">3000*(E6+E7+E8+E9+E10)</f>
        <v>2537400</v>
      </c>
      <c r="C18" s="38" t="n">
        <f aca="false">5000*(E6+E7+E8+E9+E10)</f>
        <v>4229000</v>
      </c>
      <c r="D18" s="38" t="n">
        <f aca="false">10000*(E6+E7+E8+E9+E10)</f>
        <v>8458000</v>
      </c>
      <c r="E18" s="38" t="n">
        <f aca="false">20000*(E6+E7+E8+E9+E10)</f>
        <v>16916000</v>
      </c>
      <c r="F18" s="38" t="n">
        <f aca="false">50000*(E6+E7+E8+E9+E10)</f>
        <v>42290000</v>
      </c>
    </row>
    <row r="19" customFormat="false" ht="15" hidden="false" customHeight="false" outlineLevel="0" collapsed="false">
      <c r="A19" s="28" t="s">
        <v>28</v>
      </c>
      <c r="B19" s="38" t="n">
        <f aca="false">3000*(E6+E7+E8+E9+E10)</f>
        <v>2537400</v>
      </c>
      <c r="C19" s="38" t="n">
        <f aca="false">5000*(E6+E7+E8+E9+E10)</f>
        <v>4229000</v>
      </c>
      <c r="D19" s="38" t="n">
        <f aca="false">10000*(E6+E7+E8+E9+E10)</f>
        <v>8458000</v>
      </c>
      <c r="E19" s="38" t="n">
        <f aca="false">20000*(E6+E7+E8+E9+E10)</f>
        <v>16916000</v>
      </c>
      <c r="F19" s="38" t="n">
        <f aca="false">50000*(E6+E7+E8+E9+E10)</f>
        <v>42290000</v>
      </c>
    </row>
    <row r="20" customFormat="false" ht="15" hidden="false" customHeight="false" outlineLevel="0" collapsed="false">
      <c r="A20" s="28" t="s">
        <v>29</v>
      </c>
      <c r="B20" s="38" t="n">
        <f aca="false">3000*(E6+E7+E8+E9+E10)</f>
        <v>2537400</v>
      </c>
      <c r="C20" s="38" t="n">
        <f aca="false">5000*(E6+E7+E8+E9+E10)</f>
        <v>4229000</v>
      </c>
      <c r="D20" s="38" t="n">
        <f aca="false">10000*(E6+E7+E8+E9+E10)</f>
        <v>8458000</v>
      </c>
      <c r="E20" s="38" t="n">
        <f aca="false">20000*(E6+E7+E8+E9+E10)</f>
        <v>16916000</v>
      </c>
      <c r="F20" s="38" t="n">
        <f aca="false">50000*(E6+E7+E8+E9+E10)</f>
        <v>42290000</v>
      </c>
    </row>
    <row r="21" customFormat="false" ht="15" hidden="false" customHeight="false" outlineLevel="0" collapsed="false">
      <c r="A21" s="43" t="s">
        <v>164</v>
      </c>
      <c r="B21" s="45" t="n">
        <f aca="false">SUM(B16:B20)</f>
        <v>31287000</v>
      </c>
      <c r="C21" s="45" t="n">
        <f aca="false">SUM(C16:C20)</f>
        <v>52145000</v>
      </c>
      <c r="D21" s="45" t="n">
        <f aca="false">SUM(D16:D20)</f>
        <v>104290000</v>
      </c>
      <c r="E21" s="45" t="n">
        <f aca="false">SUM(E16:E20)</f>
        <v>208580000</v>
      </c>
      <c r="F21" s="45" t="n">
        <f aca="false">SUM(F16:F20)</f>
        <v>521450000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42" t="s">
        <v>165</v>
      </c>
    </row>
    <row r="3" customFormat="false" ht="15" hidden="false" customHeight="false" outlineLevel="0" collapsed="false">
      <c r="A3" s="24" t="s">
        <v>166</v>
      </c>
      <c r="B3" s="24" t="s">
        <v>20</v>
      </c>
      <c r="C3" s="24" t="s">
        <v>21</v>
      </c>
      <c r="D3" s="24" t="s">
        <v>2</v>
      </c>
      <c r="E3" s="24" t="s">
        <v>22</v>
      </c>
      <c r="F3" s="24" t="s">
        <v>23</v>
      </c>
    </row>
    <row r="4" customFormat="false" ht="15" hidden="false" customHeight="false" outlineLevel="0" collapsed="false">
      <c r="A4" s="49" t="s">
        <v>167</v>
      </c>
      <c r="B4" s="40"/>
      <c r="C4" s="40"/>
      <c r="D4" s="40"/>
      <c r="E4" s="40"/>
      <c r="F4" s="40"/>
    </row>
    <row r="5" customFormat="false" ht="15" hidden="false" customHeight="false" outlineLevel="0" collapsed="false">
      <c r="A5" s="28" t="s">
        <v>168</v>
      </c>
      <c r="B5" s="38" t="n">
        <f aca="false">3000*Revenue!E4</f>
        <v>16500000</v>
      </c>
      <c r="C5" s="38" t="n">
        <f aca="false">5000*Revenue!E4</f>
        <v>27500000</v>
      </c>
      <c r="D5" s="38" t="n">
        <f aca="false">10000*Revenue!E4</f>
        <v>55000000</v>
      </c>
      <c r="E5" s="38" t="n">
        <f aca="false">20000*Revenue!E4</f>
        <v>110000000</v>
      </c>
      <c r="F5" s="38" t="n">
        <f aca="false">50000*Revenue!E4</f>
        <v>275000000</v>
      </c>
    </row>
    <row r="6" customFormat="false" ht="15" hidden="false" customHeight="false" outlineLevel="0" collapsed="false">
      <c r="A6" s="28" t="s">
        <v>169</v>
      </c>
      <c r="B6" s="38" t="n">
        <f aca="false">3000*Revenue!E5</f>
        <v>2100000</v>
      </c>
      <c r="C6" s="38" t="n">
        <f aca="false">5000*Revenue!E5</f>
        <v>3500000</v>
      </c>
      <c r="D6" s="38" t="n">
        <f aca="false">10000*Revenue!E5</f>
        <v>7000000</v>
      </c>
      <c r="E6" s="38" t="n">
        <f aca="false">20000*Revenue!E5</f>
        <v>14000000</v>
      </c>
      <c r="F6" s="38" t="n">
        <f aca="false">50000*Revenue!E5</f>
        <v>35000000</v>
      </c>
    </row>
    <row r="7" customFormat="false" ht="15" hidden="false" customHeight="false" outlineLevel="0" collapsed="false">
      <c r="A7" s="28" t="s">
        <v>170</v>
      </c>
      <c r="B7" s="38" t="n">
        <f aca="false">3000*(Revenue!E6+Revenue!E7+Revenue!E8+Revenue!E9+Revenue!E10)</f>
        <v>2537400</v>
      </c>
      <c r="C7" s="38" t="n">
        <f aca="false">5000*(Revenue!E6+Revenue!E7+Revenue!E8+Revenue!E9+Revenue!E10)</f>
        <v>4229000</v>
      </c>
      <c r="D7" s="38" t="n">
        <f aca="false">10000*(Revenue!E6+Revenue!E7+Revenue!E8+Revenue!E9+Revenue!E10)</f>
        <v>8458000</v>
      </c>
      <c r="E7" s="38" t="n">
        <f aca="false">20000*(Revenue!E6+Revenue!E7+Revenue!E8+Revenue!E9+Revenue!E10)</f>
        <v>16916000</v>
      </c>
      <c r="F7" s="38" t="n">
        <f aca="false">50000*(Revenue!E6+Revenue!E7+Revenue!E8+Revenue!E9+Revenue!E10)</f>
        <v>42290000</v>
      </c>
    </row>
    <row r="8" customFormat="false" ht="15" hidden="false" customHeight="false" outlineLevel="0" collapsed="false">
      <c r="A8" s="49" t="s">
        <v>171</v>
      </c>
      <c r="B8" s="50" t="n">
        <f aca="false">SUM(B5:B7)</f>
        <v>21137400</v>
      </c>
      <c r="C8" s="50" t="n">
        <f aca="false">SUM(C5:C7)</f>
        <v>35229000</v>
      </c>
      <c r="D8" s="50" t="n">
        <f aca="false">SUM(D5:D7)</f>
        <v>70458000</v>
      </c>
      <c r="E8" s="50" t="n">
        <f aca="false">SUM(E5:E7)</f>
        <v>140916000</v>
      </c>
      <c r="F8" s="50" t="n">
        <f aca="false">SUM(F5:F7)</f>
        <v>352290000</v>
      </c>
    </row>
    <row r="9" customFormat="false" ht="15" hidden="false" customHeight="false" outlineLevel="0" collapsed="false">
      <c r="A9" s="51" t="s">
        <v>172</v>
      </c>
      <c r="B9" s="52"/>
      <c r="C9" s="52"/>
      <c r="D9" s="52"/>
      <c r="E9" s="52"/>
      <c r="F9" s="52"/>
    </row>
    <row r="10" customFormat="false" ht="15" hidden="false" customHeight="false" outlineLevel="0" collapsed="false">
      <c r="A10" s="28" t="s">
        <v>173</v>
      </c>
      <c r="B10" s="38" t="n">
        <f aca="false">'Manufacturing Cost'!C13</f>
        <v>2000</v>
      </c>
      <c r="C10" s="38" t="n">
        <f aca="false">'Manufacturing Cost'!C14</f>
        <v>2000</v>
      </c>
      <c r="D10" s="38" t="n">
        <f aca="false">'Manufacturing Cost'!C15</f>
        <v>1700</v>
      </c>
      <c r="E10" s="38" t="n">
        <f aca="false">'Manufacturing Cost'!C16</f>
        <v>1700</v>
      </c>
      <c r="F10" s="38" t="n">
        <f aca="false">'Manufacturing Cost'!C17</f>
        <v>1462</v>
      </c>
    </row>
    <row r="11" customFormat="false" ht="15" hidden="false" customHeight="false" outlineLevel="0" collapsed="false">
      <c r="A11" s="28" t="s">
        <v>174</v>
      </c>
      <c r="B11" s="38" t="n">
        <f aca="false">'Manufacturing Cost'!D13</f>
        <v>6000000</v>
      </c>
      <c r="C11" s="38" t="n">
        <f aca="false">'Manufacturing Cost'!D14</f>
        <v>10000000</v>
      </c>
      <c r="D11" s="38" t="n">
        <f aca="false">'Manufacturing Cost'!D15</f>
        <v>17000000</v>
      </c>
      <c r="E11" s="38" t="n">
        <f aca="false">'Manufacturing Cost'!D16</f>
        <v>34000000</v>
      </c>
      <c r="F11" s="38" t="n">
        <f aca="false">'Manufacturing Cost'!D17</f>
        <v>73100000</v>
      </c>
    </row>
    <row r="12" customFormat="false" ht="15" hidden="false" customHeight="false" outlineLevel="0" collapsed="false">
      <c r="A12" s="51" t="s">
        <v>175</v>
      </c>
      <c r="B12" s="53" t="n">
        <f aca="false">'Personnel Cost'!C91+'Infrastructure &amp; Equipment'!C7</f>
        <v>1106400</v>
      </c>
      <c r="C12" s="53" t="n">
        <f aca="false">'Personnel Cost'!D91+'Infrastructure &amp; Equipment'!D7</f>
        <v>2980800</v>
      </c>
      <c r="D12" s="53" t="n">
        <f aca="false">'Personnel Cost'!E91+'Infrastructure &amp; Equipment'!E7</f>
        <v>5980800</v>
      </c>
      <c r="E12" s="53" t="n">
        <f aca="false">'Personnel Cost'!F91+'Infrastructure &amp; Equipment'!F7</f>
        <v>8733600</v>
      </c>
      <c r="F12" s="53" t="n">
        <f aca="false">'Personnel Cost'!G91+'Infrastructure &amp; Equipment'!G7</f>
        <v>13051200</v>
      </c>
    </row>
    <row r="13" customFormat="false" ht="15" hidden="false" customHeight="false" outlineLevel="0" collapsed="false">
      <c r="A13" s="28" t="s">
        <v>176</v>
      </c>
      <c r="B13" s="38" t="n">
        <f aca="false">'Infrastructure &amp; Equipment'!C19</f>
        <v>949700</v>
      </c>
      <c r="C13" s="38" t="n">
        <f aca="false">'Infrastructure &amp; Equipment'!D19</f>
        <v>1739500</v>
      </c>
      <c r="D13" s="38" t="n">
        <f aca="false">'Infrastructure &amp; Equipment'!E19</f>
        <v>3179000</v>
      </c>
      <c r="E13" s="38" t="n">
        <f aca="false">'Infrastructure &amp; Equipment'!F19</f>
        <v>5038000</v>
      </c>
      <c r="F13" s="38" t="n">
        <f aca="false">'Infrastructure &amp; Equipment'!G19</f>
        <v>10225000</v>
      </c>
    </row>
    <row r="14" customFormat="false" ht="15" hidden="false" customHeight="false" outlineLevel="0" collapsed="false">
      <c r="A14" s="26" t="s">
        <v>177</v>
      </c>
      <c r="B14" s="27"/>
      <c r="C14" s="27"/>
      <c r="D14" s="27"/>
      <c r="E14" s="27"/>
      <c r="F14" s="27"/>
    </row>
    <row r="15" customFormat="false" ht="15" hidden="false" customHeight="false" outlineLevel="0" collapsed="false">
      <c r="A15" s="32" t="s">
        <v>178</v>
      </c>
      <c r="B15" s="39" t="n">
        <f aca="false">B8-B11</f>
        <v>15137400</v>
      </c>
      <c r="C15" s="39" t="n">
        <f aca="false">C8-C11</f>
        <v>25229000</v>
      </c>
      <c r="D15" s="39" t="n">
        <f aca="false">D8-D11</f>
        <v>53458000</v>
      </c>
      <c r="E15" s="39" t="n">
        <f aca="false">E8-E11</f>
        <v>106916000</v>
      </c>
      <c r="F15" s="39" t="n">
        <f aca="false">F8-F11</f>
        <v>279190000</v>
      </c>
    </row>
    <row r="16" customFormat="false" ht="15" hidden="false" customHeight="false" outlineLevel="0" collapsed="false">
      <c r="A16" s="32" t="s">
        <v>179</v>
      </c>
      <c r="B16" s="39" t="n">
        <f aca="false">B15-B12-B13</f>
        <v>13081300</v>
      </c>
      <c r="C16" s="39" t="n">
        <f aca="false">C15-C12-C13</f>
        <v>20508700</v>
      </c>
      <c r="D16" s="39" t="n">
        <f aca="false">D15-D12-D13</f>
        <v>44298200</v>
      </c>
      <c r="E16" s="39" t="n">
        <f aca="false">E15-E12-E13</f>
        <v>93144400</v>
      </c>
      <c r="F16" s="39" t="n">
        <f aca="false">F15-F12-F13</f>
        <v>255913800</v>
      </c>
    </row>
    <row r="17" customFormat="false" ht="15" hidden="false" customHeight="false" outlineLevel="0" collapsed="false">
      <c r="A17" s="36" t="s">
        <v>32</v>
      </c>
      <c r="B17" s="54" t="n">
        <f aca="false">B16</f>
        <v>13081300</v>
      </c>
      <c r="C17" s="54" t="n">
        <f aca="false">C16</f>
        <v>20508700</v>
      </c>
      <c r="D17" s="54" t="n">
        <f aca="false">D16</f>
        <v>44298200</v>
      </c>
      <c r="E17" s="54" t="n">
        <f aca="false">E16</f>
        <v>93144400</v>
      </c>
      <c r="F17" s="54" t="n">
        <f aca="false">F16</f>
        <v>255913800</v>
      </c>
    </row>
    <row r="18" customFormat="false" ht="15" hidden="false" customHeight="false" outlineLevel="0" collapsed="false">
      <c r="A18" s="26" t="s">
        <v>180</v>
      </c>
      <c r="B18" s="27"/>
      <c r="C18" s="27"/>
      <c r="D18" s="27"/>
      <c r="E18" s="27"/>
      <c r="F18" s="27"/>
    </row>
    <row r="19" customFormat="false" ht="15" hidden="false" customHeight="false" outlineLevel="0" collapsed="false">
      <c r="A19" s="28" t="s">
        <v>181</v>
      </c>
      <c r="B19" s="55" t="n">
        <f aca="false">IF(B8&lt;&gt;0,B15/B8,0)</f>
        <v>0.716142950410173</v>
      </c>
      <c r="C19" s="55" t="n">
        <f aca="false">IF(C8&lt;&gt;0,C15/C8,0)</f>
        <v>0.716142950410173</v>
      </c>
      <c r="D19" s="55" t="n">
        <f aca="false">IF(D8&lt;&gt;0,D15/D8,0)</f>
        <v>0.758721507848647</v>
      </c>
      <c r="E19" s="55" t="n">
        <f aca="false">IF(E8&lt;&gt;0,E15/E8,0)</f>
        <v>0.758721507848647</v>
      </c>
      <c r="F19" s="55" t="n">
        <f aca="false">IF(F8&lt;&gt;0,F15/F8,0)</f>
        <v>0.792500496749837</v>
      </c>
    </row>
    <row r="20" customFormat="false" ht="15" hidden="false" customHeight="false" outlineLevel="0" collapsed="false">
      <c r="A20" s="28" t="s">
        <v>182</v>
      </c>
      <c r="B20" s="55" t="n">
        <f aca="false">IF(B8&lt;&gt;0,B16/B8,0)</f>
        <v>0.618869870466566</v>
      </c>
      <c r="C20" s="55" t="n">
        <f aca="false">IF(C8&lt;&gt;0,C16/C8,0)</f>
        <v>0.582153907292288</v>
      </c>
      <c r="D20" s="55" t="n">
        <f aca="false">IF(D8&lt;&gt;0,D16/D8,0)</f>
        <v>0.628717817707003</v>
      </c>
      <c r="E20" s="55" t="n">
        <f aca="false">IF(E8&lt;&gt;0,E16/E8,0)</f>
        <v>0.660992364245366</v>
      </c>
      <c r="F20" s="55" t="n">
        <f aca="false">IF(F8&lt;&gt;0,F16/F8,0)</f>
        <v>0.72642936217321</v>
      </c>
    </row>
    <row r="21" customFormat="false" ht="15" hidden="false" customHeight="false" outlineLevel="0" collapsed="false">
      <c r="A21" s="28" t="s">
        <v>183</v>
      </c>
      <c r="B21" s="55" t="n">
        <f aca="false">IF(B8&lt;&gt;0,B17/B8,0)</f>
        <v>0.618869870466566</v>
      </c>
      <c r="C21" s="55" t="n">
        <f aca="false">IF(C8&lt;&gt;0,C17/C8,0)</f>
        <v>0.582153907292288</v>
      </c>
      <c r="D21" s="55" t="n">
        <f aca="false">IF(D8&lt;&gt;0,D17/D8,0)</f>
        <v>0.628717817707003</v>
      </c>
      <c r="E21" s="55" t="n">
        <f aca="false">IF(E8&lt;&gt;0,E17/E8,0)</f>
        <v>0.660992364245366</v>
      </c>
      <c r="F21" s="55" t="n">
        <f aca="false">IF(F8&lt;&gt;0,F17/F8,0)</f>
        <v>0.72642936217321</v>
      </c>
    </row>
    <row r="23" customFormat="false" ht="17.35" hidden="false" customHeight="false" outlineLevel="0" collapsed="false">
      <c r="A23" s="42" t="s">
        <v>184</v>
      </c>
    </row>
    <row r="24" customFormat="false" ht="15" hidden="false" customHeight="false" outlineLevel="0" collapsed="false">
      <c r="A24" s="24" t="s">
        <v>166</v>
      </c>
      <c r="B24" s="24" t="s">
        <v>20</v>
      </c>
      <c r="C24" s="24" t="s">
        <v>21</v>
      </c>
      <c r="D24" s="24" t="s">
        <v>2</v>
      </c>
      <c r="E24" s="24" t="s">
        <v>22</v>
      </c>
      <c r="F24" s="24" t="s">
        <v>23</v>
      </c>
    </row>
    <row r="25" customFormat="false" ht="15" hidden="false" customHeight="false" outlineLevel="0" collapsed="false">
      <c r="A25" s="32" t="s">
        <v>185</v>
      </c>
      <c r="B25" s="38" t="n">
        <f aca="false">Revenue!B21</f>
        <v>31287000</v>
      </c>
      <c r="C25" s="38" t="n">
        <f aca="false">Revenue!C21</f>
        <v>52145000</v>
      </c>
      <c r="D25" s="38" t="n">
        <f aca="false">Revenue!D21</f>
        <v>104290000</v>
      </c>
      <c r="E25" s="38" t="n">
        <f aca="false">Revenue!E21</f>
        <v>208580000</v>
      </c>
      <c r="F25" s="38" t="n">
        <f aca="false">Revenue!F21</f>
        <v>521450000</v>
      </c>
    </row>
    <row r="26" customFormat="false" ht="15" hidden="false" customHeight="false" outlineLevel="0" collapsed="false">
      <c r="A26" s="28" t="s">
        <v>186</v>
      </c>
      <c r="B26" s="30" t="n">
        <f aca="false">B11+B12*5+B13</f>
        <v>12481700</v>
      </c>
      <c r="C26" s="30" t="n">
        <f aca="false">C11+C12*5+C13</f>
        <v>26643500</v>
      </c>
      <c r="D26" s="30" t="n">
        <f aca="false">D11+D12*5+D13</f>
        <v>50083000</v>
      </c>
      <c r="E26" s="30" t="n">
        <f aca="false">E11+E12*5+E13</f>
        <v>82706000</v>
      </c>
      <c r="F26" s="30" t="n">
        <f aca="false">F11+F12*5+F13</f>
        <v>148581000</v>
      </c>
    </row>
    <row r="27" customFormat="false" ht="15" hidden="false" customHeight="false" outlineLevel="0" collapsed="false">
      <c r="A27" s="36" t="s">
        <v>187</v>
      </c>
      <c r="B27" s="54" t="n">
        <f aca="false">B25-B26</f>
        <v>18805300</v>
      </c>
      <c r="C27" s="54" t="n">
        <f aca="false">C25-C26</f>
        <v>25501500</v>
      </c>
      <c r="D27" s="54" t="n">
        <f aca="false">D25-D26</f>
        <v>54207000</v>
      </c>
      <c r="E27" s="54" t="n">
        <f aca="false">E25-E26</f>
        <v>125874000</v>
      </c>
      <c r="F27" s="54" t="n">
        <f aca="false">F25-F26</f>
        <v>372869000</v>
      </c>
    </row>
    <row r="28" customFormat="false" ht="15" hidden="false" customHeight="false" outlineLevel="0" collapsed="false">
      <c r="A28" s="32" t="s">
        <v>188</v>
      </c>
      <c r="B28" s="55" t="n">
        <f aca="false">IF(B26&lt;&gt;0,B27/B26,0)</f>
        <v>1.50662970588942</v>
      </c>
      <c r="C28" s="55" t="n">
        <f aca="false">IF(C26&lt;&gt;0,C27/C26,0)</f>
        <v>0.957137763431982</v>
      </c>
      <c r="D28" s="55" t="n">
        <f aca="false">IF(D26&lt;&gt;0,D27/D26,0)</f>
        <v>1.08234331010523</v>
      </c>
      <c r="E28" s="55" t="n">
        <f aca="false">IF(E26&lt;&gt;0,E27/E26,0)</f>
        <v>1.52194520349189</v>
      </c>
      <c r="F28" s="55" t="n">
        <f aca="false">IF(F26&lt;&gt;0,F27/F26,0)</f>
        <v>2.50953352043666</v>
      </c>
    </row>
    <row r="29" customFormat="false" ht="15" hidden="false" customHeight="false" outlineLevel="0" collapsed="false">
      <c r="A29" s="32" t="s">
        <v>189</v>
      </c>
      <c r="B29" s="55" t="n">
        <f aca="false">IF(B25&lt;&gt;0,B27/B25,0)</f>
        <v>0.60105794739029</v>
      </c>
      <c r="C29" s="55" t="n">
        <f aca="false">IF(C25&lt;&gt;0,C27/C25,0)</f>
        <v>0.489049765078147</v>
      </c>
      <c r="D29" s="55" t="n">
        <f aca="false">IF(D25&lt;&gt;0,D27/D25,0)</f>
        <v>0.519771790200403</v>
      </c>
      <c r="E29" s="55" t="n">
        <f aca="false">IF(E25&lt;&gt;0,E27/E25,0)</f>
        <v>0.603480678876211</v>
      </c>
      <c r="F29" s="55" t="n">
        <f aca="false">IF(F25&lt;&gt;0,F27/F25,0)</f>
        <v>0.71506184677342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2026-03-05T15:29:42Z</dcterms:created>
  <dc:creator>openpyxl</dc:creator>
  <dc:description/>
  <dc:language>en-US</dc:language>
  <cp:lastModifiedBy/>
  <dcterms:modified xsi:type="dcterms:W3CDTF">2026-03-05T15:29:52Z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