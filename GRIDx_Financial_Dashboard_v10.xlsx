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venue" sheetId="2" state="visible" r:id="rId4"/>
    <sheet name="Manufacturing" sheetId="3" state="visible" r:id="rId5"/>
    <sheet name="Personnel" sheetId="4" state="visible" r:id="rId6"/>
    <sheet name="Operating Costs" sheetId="5" state="visible" r:id="rId7"/>
    <sheet name="Implementation" sheetId="6" state="visible" r:id="rId8"/>
    <sheet name="Equipment" sheetId="7" state="visible" r:id="rId9"/>
    <sheet name="Development" sheetId="8" state="visible" r:id="rId10"/>
    <sheet name="Financing" sheetId="9" state="visible" r:id="rId11"/>
    <sheet name="Profitabil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<sst xmlns="http://schemas.openxmlformats.org/spreadsheetml/2006/main" count="461" uniqueCount="277">
  <si>
    <t xml:space="preserve">GRIDx Smart Meter  -  5-Year Financial Model</t>
  </si>
  <si>
    <t xml:space="preserve">Scenarios: 3,000  |  5,000  |  10,000  |  20,000  |  50,000 Meters  |  Currency: N$ (Namibian Dollar)</t>
  </si>
  <si>
    <t xml:space="preserve">SELECT SCENARIO</t>
  </si>
  <si>
    <t xml:space="preserve">Total Revenue</t>
  </si>
  <si>
    <t xml:space="preserve">Net Profit</t>
  </si>
  <si>
    <t xml:space="preserve">Gross Margin</t>
  </si>
  <si>
    <t xml:space="preserve">Payback Period</t>
  </si>
  <si>
    <t xml:space="preserve">10,000 Meters</t>
  </si>
  <si>
    <t xml:space="preserve">INPUT PARAMETERS</t>
  </si>
  <si>
    <t xml:space="preserve">Meters:</t>
  </si>
  <si>
    <t xml:space="preserve">units</t>
  </si>
  <si>
    <t xml:space="preserve">Hardware:</t>
  </si>
  <si>
    <t xml:space="preserve">N$5,500</t>
  </si>
  <si>
    <t xml:space="preserve">/unit/yr</t>
  </si>
  <si>
    <t xml:space="preserve">Installation:</t>
  </si>
  <si>
    <t xml:space="preserve">N$700</t>
  </si>
  <si>
    <t xml:space="preserve">one-time</t>
  </si>
  <si>
    <t xml:space="preserve">Mfg Cost/Meter:</t>
  </si>
  <si>
    <t xml:space="preserve">per unit</t>
  </si>
  <si>
    <t xml:space="preserve">Personnel:</t>
  </si>
  <si>
    <t xml:space="preserve">N$748,800</t>
  </si>
  <si>
    <t xml:space="preserve">/year</t>
  </si>
  <si>
    <t xml:space="preserve">Annual Revenue:</t>
  </si>
  <si>
    <t xml:space="preserve">5-YEAR FINANCIAL SUMMARY</t>
  </si>
  <si>
    <t xml:space="preserve">Total Revenue:</t>
  </si>
  <si>
    <t xml:space="preserve">Total Costs:</t>
  </si>
  <si>
    <t xml:space="preserve">Net Profit:</t>
  </si>
  <si>
    <t xml:space="preserve">ROI:</t>
  </si>
  <si>
    <t xml:space="preserve">NPV:</t>
  </si>
  <si>
    <t xml:space="preserve">COST ANALYSIS</t>
  </si>
  <si>
    <t xml:space="preserve">SCENARIO COMPARISON — All Deployment Sizes</t>
  </si>
  <si>
    <t xml:space="preserve">Metric</t>
  </si>
  <si>
    <t xml:space="preserve">3K</t>
  </si>
  <si>
    <t xml:space="preserve">5K</t>
  </si>
  <si>
    <t xml:space="preserve">10K</t>
  </si>
  <si>
    <t xml:space="preserve">20K</t>
  </si>
  <si>
    <t xml:space="preserve">50K</t>
  </si>
  <si>
    <t xml:space="preserve">5-Year Revenue</t>
  </si>
  <si>
    <t xml:space="preserve">5-Year Costs</t>
  </si>
  <si>
    <t xml:space="preserve">Payback</t>
  </si>
  <si>
    <t xml:space="preserve">ROI</t>
  </si>
  <si>
    <t xml:space="preserve">SCENARIO ANALYSIS CHARTS</t>
  </si>
  <si>
    <t xml:space="preserve">GRIDx Smart Energy Solutions  |  Confidential Financial Model  |  All figures in Namibian Dollars (N$)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</si>
  <si>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</si>
  <si>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</si>
  <si>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</si>
  <si>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</si>
  <si>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</si>
  <si>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</si>
  <si>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</si>
  <si>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</si>
  <si>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</si>
  <si>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</si>
  <si>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</si>
  <si>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Total Costs</t>
  </si>
  <si>
    <t xml:space="preserve">Cum Revenue</t>
  </si>
  <si>
    <t xml:space="preserve">Cum Profit</t>
  </si>
  <si>
    <t xml:space="preserve">Manufacturing</t>
  </si>
  <si>
    <t xml:space="preserve">Operating</t>
  </si>
  <si>
    <t xml:space="preserve">Implementation</t>
  </si>
  <si>
    <t xml:space="preserve">Equipment</t>
  </si>
  <si>
    <t xml:space="preserve">Development</t>
  </si>
  <si>
    <t xml:space="preserve">Financing</t>
  </si>
  <si>
    <t xml:space="preserve">Contingency</t>
  </si>
  <si>
    <t xml:space="preserve">Hardware</t>
  </si>
  <si>
    <t xml:space="preserve">Installation</t>
  </si>
  <si>
    <t xml:space="preserve">Maintenance</t>
  </si>
  <si>
    <t xml:space="preserve">Wi-Fi</t>
  </si>
  <si>
    <t xml:space="preserve">SMS</t>
  </si>
  <si>
    <t xml:space="preserve">App</t>
  </si>
  <si>
    <t xml:space="preserve">Real Estate</t>
  </si>
  <si>
    <t xml:space="preserve">Scenario</t>
  </si>
  <si>
    <t xml:space="preserve">Revenue (M)</t>
  </si>
  <si>
    <t xml:space="preserve">Costs (M)</t>
  </si>
  <si>
    <t xml:space="preserve">Profit (M)</t>
  </si>
  <si>
    <t xml:space="preserve">Headcount</t>
  </si>
  <si>
    <t xml:space="preserve">Personnel</t>
  </si>
  <si>
    <t xml:space="preserve">Data Storage</t>
  </si>
  <si>
    <t xml:space="preserve">Vehicles</t>
  </si>
  <si>
    <t xml:space="preserve">Office</t>
  </si>
  <si>
    <t xml:space="preserve">Software</t>
  </si>
  <si>
    <t xml:space="preserve">Marketing</t>
  </si>
  <si>
    <t xml:space="preserve">Regulatory</t>
  </si>
  <si>
    <t xml:space="preserve">Insurance</t>
  </si>
  <si>
    <t xml:space="preserve">Revenue Model — Assumptions &amp; Derivation</t>
  </si>
  <si>
    <t xml:space="preserve">Revenue Stream</t>
  </si>
  <si>
    <t xml:space="preserve">Rate</t>
  </si>
  <si>
    <t xml:space="preserve">Adoption</t>
  </si>
  <si>
    <t xml:space="preserve">Basis</t>
  </si>
  <si>
    <t xml:space="preserve">Annual/Meter (N$)</t>
  </si>
  <si>
    <t xml:space="preserve">Meter Hardware Sale</t>
  </si>
  <si>
    <t xml:space="preserve">N$5,500/yr</t>
  </si>
  <si>
    <t xml:space="preserve">100%</t>
  </si>
  <si>
    <t xml:space="preserve">Annual recurring</t>
  </si>
  <si>
    <t xml:space="preserve">Installation Fee</t>
  </si>
  <si>
    <t xml:space="preserve">N$700 one-time</t>
  </si>
  <si>
    <t xml:space="preserve">One-time</t>
  </si>
  <si>
    <t xml:space="preserve">N$300/yr</t>
  </si>
  <si>
    <t xml:space="preserve">Annual</t>
  </si>
  <si>
    <t xml:space="preserve">Wi-Fi Subscription</t>
  </si>
  <si>
    <t xml:space="preserve">N$25/mo</t>
  </si>
  <si>
    <t xml:space="preserve">30%</t>
  </si>
  <si>
    <t xml:space="preserve">30% x 25 x 12</t>
  </si>
  <si>
    <t xml:space="preserve">SMS Notifications</t>
  </si>
  <si>
    <t xml:space="preserve">N$2.50/SMS</t>
  </si>
  <si>
    <t xml:space="preserve">50%</t>
  </si>
  <si>
    <t xml:space="preserve">50% x 2 x 2.50 x 12</t>
  </si>
  <si>
    <t xml:space="preserve">Mobile App</t>
  </si>
  <si>
    <t xml:space="preserve">N$65/mo</t>
  </si>
  <si>
    <t xml:space="preserve">80%</t>
  </si>
  <si>
    <t xml:space="preserve">80% x 65 x 12</t>
  </si>
  <si>
    <t xml:space="preserve">Real Estate Mgmt</t>
  </si>
  <si>
    <t xml:space="preserve">N$3,200/blk/mo</t>
  </si>
  <si>
    <t xml:space="preserve">1/500m</t>
  </si>
  <si>
    <t xml:space="preserve">(m/500) x 3200 x 12 / m</t>
  </si>
  <si>
    <t xml:space="preserve">Annual Recurring per Meter</t>
  </si>
  <si>
    <t xml:space="preserve">Year 1 Total per Meter (incl Install)</t>
  </si>
  <si>
    <t xml:space="preserve">Revenue by Year &amp; Scenario</t>
  </si>
  <si>
    <t xml:space="preserve">5-Year Total</t>
  </si>
  <si>
    <t xml:space="preserve">5-Year Revenue Breakdown by Stream</t>
  </si>
  <si>
    <t xml:space="preserve">Hardware Sales (N$5,500/yr x 5)</t>
  </si>
  <si>
    <t xml:space="preserve">Installation Fees (N$700 one-time)</t>
  </si>
  <si>
    <t xml:space="preserve">Maintenance (N$300/yr x 5)</t>
  </si>
  <si>
    <t xml:space="preserve">Wi-Fi (N$90/yr x 5)</t>
  </si>
  <si>
    <t xml:space="preserve">SMS (N$30/yr x 5)</t>
  </si>
  <si>
    <t xml:space="preserve">Mobile App (N$624/yr x 5)</t>
  </si>
  <si>
    <t xml:space="preserve">Real Estate (N$76.80/yr x 5)</t>
  </si>
  <si>
    <t xml:space="preserve">Total 5-Year Revenue</t>
  </si>
  <si>
    <t xml:space="preserve">VISUAL ANALYSIS</t>
  </si>
  <si>
    <t xml:space="preserve">Manufacturing Costs — Derivation</t>
  </si>
  <si>
    <t xml:space="preserve">VOLUME DISCOUNT STRUCTURE</t>
  </si>
  <si>
    <t xml:space="preserve">Volume Tier</t>
  </si>
  <si>
    <t xml:space="preserve">Discount</t>
  </si>
  <si>
    <t xml:space="preserve">Cost/Meter (N$)</t>
  </si>
  <si>
    <t xml:space="preserve">Calculation Basis</t>
  </si>
  <si>
    <t xml:space="preserve">Base (0-9,999)</t>
  </si>
  <si>
    <t xml:space="preserve">0%</t>
  </si>
  <si>
    <t xml:space="preserve">N$2,000 per meter</t>
  </si>
  <si>
    <t xml:space="preserve">10,000 - 19,999</t>
  </si>
  <si>
    <t xml:space="preserve">15%</t>
  </si>
  <si>
    <t xml:space="preserve">15% reduction</t>
  </si>
  <si>
    <t xml:space="preserve">20,000 - 49,999</t>
  </si>
  <si>
    <t xml:space="preserve">30% reduction</t>
  </si>
  <si>
    <t xml:space="preserve">50,000+</t>
  </si>
  <si>
    <t xml:space="preserve">~27%</t>
  </si>
  <si>
    <t xml:space="preserve">Adjusted to N$1,462</t>
  </si>
  <si>
    <t xml:space="preserve">MANUFACTURING COST BY SCENARIO</t>
  </si>
  <si>
    <t xml:space="preserve">Cost Item</t>
  </si>
  <si>
    <t xml:space="preserve">Meter Hardware (Volume x Unit Cost)</t>
  </si>
  <si>
    <t xml:space="preserve">Spare Parts (2% x N$4,495/meter)</t>
  </si>
  <si>
    <t xml:space="preserve">TOTAL MANUFACTURING</t>
  </si>
  <si>
    <t xml:space="preserve">UNIT COST SUMMARY</t>
  </si>
  <si>
    <t xml:space="preserve">Meters Deployed</t>
  </si>
  <si>
    <t xml:space="preserve">Cost per Meter (N$)</t>
  </si>
  <si>
    <t xml:space="preserve">Discount Applied</t>
  </si>
  <si>
    <t xml:space="preserve">27%</t>
  </si>
  <si>
    <t xml:space="preserve">Personnel — Detailed Staffing Plan</t>
  </si>
  <si>
    <t xml:space="preserve">Headcount by position per deployment scenario</t>
  </si>
  <si>
    <t xml:space="preserve">Position</t>
  </si>
  <si>
    <t xml:space="preserve">Monthly (N$)</t>
  </si>
  <si>
    <t xml:space="preserve">Annual (N$)</t>
  </si>
  <si>
    <t xml:space="preserve">LEADERSHIP &amp; MANAGEMENT</t>
  </si>
  <si>
    <t xml:space="preserve">CEO</t>
  </si>
  <si>
    <t xml:space="preserve">COO</t>
  </si>
  <si>
    <t xml:space="preserve">CFO</t>
  </si>
  <si>
    <t xml:space="preserve">CTO</t>
  </si>
  <si>
    <t xml:space="preserve">Head of Business Dev</t>
  </si>
  <si>
    <t xml:space="preserve">Head of HR</t>
  </si>
  <si>
    <t xml:space="preserve">Legal &amp; Compliance</t>
  </si>
  <si>
    <t xml:space="preserve">OPERATIONS &amp; FIELD</t>
  </si>
  <si>
    <t xml:space="preserve">Operations Manager</t>
  </si>
  <si>
    <t xml:space="preserve">Field Support Techs</t>
  </si>
  <si>
    <t xml:space="preserve">Installation Team Lead</t>
  </si>
  <si>
    <t xml:space="preserve">Logistics Coordinator</t>
  </si>
  <si>
    <t xml:space="preserve">ENGINEERING &amp; QA</t>
  </si>
  <si>
    <t xml:space="preserve">Engineering Manager</t>
  </si>
  <si>
    <t xml:space="preserve">QA Engineers</t>
  </si>
  <si>
    <t xml:space="preserve">Firmware/Software Eng</t>
  </si>
  <si>
    <t xml:space="preserve">Hardware Engineers</t>
  </si>
  <si>
    <t xml:space="preserve">CUSTOMER SUCCESS</t>
  </si>
  <si>
    <t xml:space="preserve">Customer Support Mgr</t>
  </si>
  <si>
    <t xml:space="preserve">Customer Support Agents</t>
  </si>
  <si>
    <t xml:space="preserve">Technical Support</t>
  </si>
  <si>
    <t xml:space="preserve">SALES &amp; MARKETING</t>
  </si>
  <si>
    <t xml:space="preserve">Sales Manager</t>
  </si>
  <si>
    <t xml:space="preserve">Sales Representatives</t>
  </si>
  <si>
    <t xml:space="preserve">Marketing Coordinator</t>
  </si>
  <si>
    <t xml:space="preserve">FINANCE &amp; ADMIN</t>
  </si>
  <si>
    <t xml:space="preserve">Finance Manager</t>
  </si>
  <si>
    <t xml:space="preserve">Accountant</t>
  </si>
  <si>
    <t xml:space="preserve">Admin Assistant</t>
  </si>
  <si>
    <t xml:space="preserve">TOTAL HEADCOUNT</t>
  </si>
  <si>
    <t xml:space="preserve">ANNUAL PERSONNEL COST BY SCENARIO</t>
  </si>
  <si>
    <t xml:space="preserve">Annual Salary</t>
  </si>
  <si>
    <t xml:space="preserve">TOTAL ANNUAL PERSONNEL COST</t>
  </si>
  <si>
    <t xml:space="preserve">Note: The financial model uses a consolidated annual personnel figure of N$748,800/yr.</t>
  </si>
  <si>
    <t xml:space="preserve">This sheet shows the recommended full-scale staffing plan for reference.</t>
  </si>
  <si>
    <t xml:space="preserve">Operating Costs — 5-Year Total</t>
  </si>
  <si>
    <t xml:space="preserve">Annual recurring costs x 5 years</t>
  </si>
  <si>
    <t xml:space="preserve">Personnel (N$748,800/yr x 5)</t>
  </si>
  <si>
    <t xml:space="preserve">Data Storage (N$48/meter/yr x 5)</t>
  </si>
  <si>
    <t xml:space="preserve">Vehicle Maintenance</t>
  </si>
  <si>
    <t xml:space="preserve">Field Equipment Upkeep</t>
  </si>
  <si>
    <t xml:space="preserve">Office &amp; Utilities (N$240,000/yr x 5)</t>
  </si>
  <si>
    <t xml:space="preserve">Software &amp; Tools (N$120,000/yr x 5)</t>
  </si>
  <si>
    <t xml:space="preserve">Marketing &amp; Branding (N$200,000/yr x 5)</t>
  </si>
  <si>
    <t xml:space="preserve">Regulatory Compliance (N$100,000/yr x 5)</t>
  </si>
  <si>
    <t xml:space="preserve">Insurance &amp; Risk (N$150,000/yr x 5)</t>
  </si>
  <si>
    <t xml:space="preserve">TOTAL OPERATING (5-Year)</t>
  </si>
  <si>
    <t xml:space="preserve">Implementation Costs — One-Time</t>
  </si>
  <si>
    <t xml:space="preserve">Deployment and setup costs (Year 1 only)</t>
  </si>
  <si>
    <t xml:space="preserve">Project Management</t>
  </si>
  <si>
    <t xml:space="preserve">Site Surveys &amp; Assessment</t>
  </si>
  <si>
    <t xml:space="preserve">Onboarding &amp; Training</t>
  </si>
  <si>
    <t xml:space="preserve">System Integration</t>
  </si>
  <si>
    <t xml:space="preserve">TOTAL IMPLEMENTATION</t>
  </si>
  <si>
    <t xml:space="preserve">Equipment Investment — One-Time</t>
  </si>
  <si>
    <t xml:space="preserve">Capital equipment purchases (Year 1 only)</t>
  </si>
  <si>
    <t xml:space="preserve">Service Vehicles (N$250,000 each)</t>
  </si>
  <si>
    <t xml:space="preserve">Test Equipment Kits (N$85,000 each)</t>
  </si>
  <si>
    <t xml:space="preserve">Workstations (N$15,000 each)</t>
  </si>
  <si>
    <t xml:space="preserve">Network Monitoring (N$120,000 each)</t>
  </si>
  <si>
    <t xml:space="preserve">Office Furniture</t>
  </si>
  <si>
    <t xml:space="preserve">Server/Cloud Infrastructure</t>
  </si>
  <si>
    <t xml:space="preserve">TOTAL EQUIPMENT</t>
  </si>
  <si>
    <t xml:space="preserve">EQUIPMENT QUANTITIES</t>
  </si>
  <si>
    <t xml:space="preserve">Item</t>
  </si>
  <si>
    <t xml:space="preserve">Service Vehicles</t>
  </si>
  <si>
    <t xml:space="preserve">Test Equipment Kits</t>
  </si>
  <si>
    <t xml:space="preserve">Workstations</t>
  </si>
  <si>
    <t xml:space="preserve">Network Monitoring Tools</t>
  </si>
  <si>
    <t xml:space="preserve">Development Costs — Pre-Launch</t>
  </si>
  <si>
    <t xml:space="preserve">R&amp;D and product development (one-time investment)</t>
  </si>
  <si>
    <t xml:space="preserve">Electronics Manufacturing Dev</t>
  </si>
  <si>
    <t xml:space="preserve">Software R&amp;D</t>
  </si>
  <si>
    <t xml:space="preserve">Mobile App Development</t>
  </si>
  <si>
    <t xml:space="preserve">Firmware Development</t>
  </si>
  <si>
    <t xml:space="preserve">Enclosure Manufacturing</t>
  </si>
  <si>
    <t xml:space="preserve">Marketing/Branding Launch</t>
  </si>
  <si>
    <t xml:space="preserve">Regulatory &amp; Legal</t>
  </si>
  <si>
    <t xml:space="preserve">Office/Logistics Setup</t>
  </si>
  <si>
    <t xml:space="preserve">Development Contingency (5%)</t>
  </si>
  <si>
    <t xml:space="preserve">TOTAL DEVELOPMENT</t>
  </si>
  <si>
    <t xml:space="preserve">Financing &amp; Contingency</t>
  </si>
  <si>
    <t xml:space="preserve">FINANCING COSTS</t>
  </si>
  <si>
    <t xml:space="preserve">Interest on Working Capital</t>
  </si>
  <si>
    <t xml:space="preserve">Bank Fees &amp; Charges</t>
  </si>
  <si>
    <t xml:space="preserve">TOTAL FINANCING</t>
  </si>
  <si>
    <t xml:space="preserve">CONTINGENCY RESERVES</t>
  </si>
  <si>
    <t xml:space="preserve">Operating Contingency (10% of 5Y Operating)</t>
  </si>
  <si>
    <t xml:space="preserve">Implementation Contingency (10%)</t>
  </si>
  <si>
    <t xml:space="preserve">TOTAL CONTINGENCY</t>
  </si>
  <si>
    <t xml:space="preserve">Profitability Analysis — All Scenarios</t>
  </si>
  <si>
    <t xml:space="preserve">YEAR 1 ANALYSIS</t>
  </si>
  <si>
    <t xml:space="preserve">Year 1 Revenue</t>
  </si>
  <si>
    <t xml:space="preserve">YEAR 1 COSTS:</t>
  </si>
  <si>
    <t xml:space="preserve">Manufacturing (one-time)</t>
  </si>
  <si>
    <t xml:space="preserve">Operating (1 year)</t>
  </si>
  <si>
    <t xml:space="preserve">Implementation (one-time)</t>
  </si>
  <si>
    <t xml:space="preserve">Equipment (one-time)</t>
  </si>
  <si>
    <t xml:space="preserve">Development (one-time)</t>
  </si>
  <si>
    <t xml:space="preserve">Contingency (1 year)</t>
  </si>
  <si>
    <t xml:space="preserve">Total Year 1 Costs</t>
  </si>
  <si>
    <t xml:space="preserve">Year 1 Net Profit</t>
  </si>
  <si>
    <t xml:space="preserve">Year 1 Net Margin</t>
  </si>
  <si>
    <t xml:space="preserve">5-YEAR PROJECTIONS</t>
  </si>
  <si>
    <t xml:space="preserve">5-Year Total Revenue</t>
  </si>
  <si>
    <t xml:space="preserve">5-Year Total Costs</t>
  </si>
  <si>
    <t xml:space="preserve">5-Year Net Profit</t>
  </si>
  <si>
    <t xml:space="preserve">5-Year ROI %</t>
  </si>
  <si>
    <t xml:space="preserve">5-Year Net Margin %</t>
  </si>
  <si>
    <t xml:space="preserve">Payback Period (months)</t>
  </si>
  <si>
    <t xml:space="preserve">DCF / Net Present Value</t>
  </si>
  <si>
    <t xml:space="preserve">5-YEAR COST BREAKDOWN</t>
  </si>
  <si>
    <t xml:space="preserve">Cost Category</t>
  </si>
  <si>
    <t xml:space="preserve">Operating Costs (5Y)</t>
  </si>
  <si>
    <t xml:space="preserve">TOTAL 5-YEAR COSTS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</si>
</sst>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N$&quot;#,##0.0,,\M"/>
    <numFmt numFmtId="166" formatCode="0.0%"/>
    <numFmt numFmtId="167" formatCode="0.0&quot; mo&quot;"/>
    <numFmt numFmtId="168" formatCode="&quot;N$&quot;#,##0"/>
    <numFmt numFmtId="169" formatCode="[$$-409]#,##0.00;[RED]\-[$$-409]#,##0.00"/>
    <numFmt numFmtId="170" formatCode="0.0"/>
    <numFmt numFmtId="171" formatCode="0"/>
    <numFmt numFmtId="172" formatCode="&quot;N$&quot;#,##0.00"/>
    <numFmt numFmtId="173" formatCode="#,##0,,,\B"/>
    <numFmt numFmtId="174" formatCode="#,##0"/>
    <numFmt numFmtId="175" formatCode="#,##0,,\M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9"/>
      <color rgb="FF94A3B8"/>
      <name val="Calibri"/>
      <family val="0"/>
      <charset val="1"/>
    </font>
    <font>
      <b val="true"/>
      <sz val="18"/>
      <color rgb="FF22C55E"/>
      <name val="Calibri"/>
      <family val="0"/>
      <charset val="1"/>
    </font>
    <font>
      <b val="true"/>
      <sz val="18"/>
      <color rgb="FFF59E0B"/>
      <name val="Calibri"/>
      <family val="0"/>
      <charset val="1"/>
    </font>
    <font>
      <b val="true"/>
      <sz val="18"/>
      <color rgb="FF3B82F6"/>
      <name val="Calibri"/>
      <family val="0"/>
      <charset val="1"/>
    </font>
    <font>
      <b val="true"/>
      <sz val="9"/>
      <color rgb="FF94A3B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3B82F6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22C55E"/>
      <name val="Calibri"/>
      <family val="0"/>
      <charset val="1"/>
    </font>
    <font>
      <sz val="8"/>
      <color rgb="FF94A3B8"/>
      <name val="Calibri"/>
      <family val="0"/>
      <charset val="1"/>
    </font>
    <font>
      <sz val="10"/>
      <color rgb="FFEF4444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i val="true"/>
      <sz val="8"/>
      <color rgb="FF94A3B8"/>
      <name val="Calibri"/>
      <family val="0"/>
      <charset val="1"/>
    </font>
    <font>
      <sz val="7"/>
      <color rgb="FF0F1B2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4472C4"/>
      <name val="Calibri"/>
      <family val="0"/>
      <charset val="1"/>
    </font>
    <font>
      <i val="true"/>
      <sz val="10"/>
      <color rgb="FFC00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B2D"/>
        <bgColor rgb="FF162236"/>
      </patternFill>
    </fill>
    <fill>
      <patternFill patternType="solid">
        <fgColor rgb="FF162236"/>
        <bgColor rgb="FF0F1B2D"/>
      </patternFill>
    </fill>
    <fill>
      <patternFill patternType="solid">
        <fgColor rgb="FF1E3A5F"/>
        <bgColor rgb="FF243B55"/>
      </patternFill>
    </fill>
    <fill>
      <patternFill patternType="solid">
        <fgColor rgb="FF3B82F6"/>
        <bgColor rgb="FF4472C4"/>
      </patternFill>
    </fill>
    <fill>
      <patternFill patternType="solid">
        <fgColor rgb="FF243B55"/>
        <bgColor rgb="FF1E3A5F"/>
      </patternFill>
    </fill>
    <fill>
      <patternFill patternType="solid">
        <fgColor rgb="FF1D2B42"/>
        <bgColor rgb="FF1B2A4A"/>
      </patternFill>
    </fill>
    <fill>
      <patternFill patternType="solid">
        <fgColor rgb="FF1B2A4A"/>
        <bgColor rgb="FF1D2B4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D3F59"/>
      </left>
      <right style="thin">
        <color rgb="FF2D3F59"/>
      </right>
      <top style="thin">
        <color rgb="FF2D3F59"/>
      </top>
      <bottom style="thin">
        <color rgb="FF2D3F5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DC853E"/>
      <rgbColor rgb="FFEF4444"/>
      <rgbColor rgb="FF00FFFF"/>
      <rgbColor rgb="FF800000"/>
      <rgbColor rgb="FF666666"/>
      <rgbColor rgb="FF1B2A4A"/>
      <rgbColor rgb="FF8AA64F"/>
      <rgbColor rgb="FF800080"/>
      <rgbColor rgb="FF4672A8"/>
      <rgbColor rgb="FFB8CD97"/>
      <rgbColor rgb="FF878787"/>
      <rgbColor rgb="FF93A9CE"/>
      <rgbColor rgb="FFAB4744"/>
      <rgbColor rgb="FFFFF2CC"/>
      <rgbColor rgb="FFD6E4F0"/>
      <rgbColor rgb="FF2D3F59"/>
      <rgbColor rgb="FFFF6384"/>
      <rgbColor rgb="FF4472C4"/>
      <rgbColor rgb="FFD9D9D9"/>
      <rgbColor rgb="FF243B55"/>
      <rgbColor rgb="FFFF00FF"/>
      <rgbColor rgb="FFFFFF00"/>
      <rgbColor rgb="FF00FFFF"/>
      <rgbColor rgb="FF800080"/>
      <rgbColor rgb="FF800000"/>
      <rgbColor rgb="FF4F81BD"/>
      <rgbColor rgb="FF0000FF"/>
      <rgbColor rgb="FF70AD47"/>
      <rgbColor rgb="FFCCFFFF"/>
      <rgbColor rgb="FFE2EFDA"/>
      <rgbColor rgb="FFFFFF99"/>
      <rgbColor rgb="FF5B9BD5"/>
      <rgbColor rgb="FFD09493"/>
      <rgbColor rgb="FF8064A2"/>
      <rgbColor rgb="FFFCE4D6"/>
      <rgbColor rgb="FF3B82F6"/>
      <rgbColor rgb="FF22C55E"/>
      <rgbColor rgb="FF9BBB59"/>
      <rgbColor rgb="FFFFC000"/>
      <rgbColor rgb="FFF59E0B"/>
      <rgbColor rgb="FFED7D31"/>
      <rgbColor rgb="FF725990"/>
      <rgbColor rgb="FF94A3B8"/>
      <rgbColor rgb="FF002060"/>
      <rgbColor rgb="FF4299B0"/>
      <rgbColor rgb="FF0F1B2D"/>
      <rgbColor rgb="FF162236"/>
      <rgbColor rgb="FFC0504D"/>
      <rgbColor rgb="FF7030A0"/>
      <rgbColor rgb="FF1E3A5F"/>
      <rgbColor rgb="FF1D2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vs Costs &amp; Net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Dashboard!$C$111:$G$111</c:f>
              <c:numCache>
                <c:formatCode>General</c:formatCode>
                <c:ptCount val="5"/>
                <c:pt idx="0">
                  <c:v>73.208</c:v>
                </c:pt>
                <c:pt idx="1">
                  <c:v>66.208</c:v>
                </c:pt>
                <c:pt idx="2">
                  <c:v>66.208</c:v>
                </c:pt>
                <c:pt idx="3">
                  <c:v>66.208</c:v>
                </c:pt>
                <c:pt idx="4">
                  <c:v>66.208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Dashboard!$C$112:$G$112</c:f>
              <c:numCache>
                <c:formatCode>[$$-409]#,##0.00;[RED]\-[$$-409]#,##0.00</c:formatCode>
                <c:ptCount val="5"/>
                <c:pt idx="0">
                  <c:v>32.331327</c:v>
                </c:pt>
                <c:pt idx="1">
                  <c:v>2.41568</c:v>
                </c:pt>
                <c:pt idx="2">
                  <c:v>2.41568</c:v>
                </c:pt>
                <c:pt idx="3">
                  <c:v>2.41568</c:v>
                </c:pt>
                <c:pt idx="4">
                  <c:v>2.41568</c:v>
                </c:pt>
              </c:numCache>
            </c:numRef>
          </c:val>
        </c:ser>
        <c:gapWidth val="150"/>
        <c:overlap val="0"/>
        <c:axId val="97196115"/>
        <c:axId val="45926167"/>
      </c:barChart>
      <c:lineChart>
        <c:grouping val="standard"/>
        <c:varyColors val="0"/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Dashboard!$C$113:$G$113</c:f>
              <c:numCache>
                <c:formatCode>[$$-409]#,##0.00;[RED]\-[$$-409]#,##0.00</c:formatCode>
                <c:ptCount val="5"/>
                <c:pt idx="0">
                  <c:v>40.876673</c:v>
                </c:pt>
                <c:pt idx="1">
                  <c:v>63.79232</c:v>
                </c:pt>
                <c:pt idx="2">
                  <c:v>63.79232</c:v>
                </c:pt>
                <c:pt idx="3">
                  <c:v>63.79232</c:v>
                </c:pt>
                <c:pt idx="4">
                  <c:v>63.79232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196115"/>
        <c:axId val="45926167"/>
      </c:lineChart>
      <c:catAx>
        <c:axId val="97196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26167"/>
        <c:crosses val="autoZero"/>
        <c:auto val="1"/>
        <c:lblAlgn val="ctr"/>
        <c:lblOffset val="100"/>
        <c:noMultiLvlLbl val="0"/>
      </c:catAx>
      <c:valAx>
        <c:axId val="45926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96115"/>
        <c:crosses val="min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 (5-Year)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"Cum Revenue"</c:f>
              <c:strCache>
                <c:ptCount val="1"/>
                <c:pt idx="0">
                  <c:v>Cum 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Dashboard!$C$114:$G$114</c:f>
              <c:numCache>
                <c:formatCode>General</c:formatCode>
                <c:ptCount val="5"/>
                <c:pt idx="0">
                  <c:v>73.208</c:v>
                </c:pt>
                <c:pt idx="1">
                  <c:v>139.416</c:v>
                </c:pt>
                <c:pt idx="2">
                  <c:v>205.624</c:v>
                </c:pt>
                <c:pt idx="3">
                  <c:v>271.832</c:v>
                </c:pt>
                <c:pt idx="4">
                  <c:v>338.04</c:v>
                </c:pt>
              </c:numCache>
            </c:numRef>
          </c:val>
        </c:ser>
        <c:ser>
          <c:idx val="1"/>
          <c:order val="1"/>
          <c:tx>
            <c:strRef>
              <c:f>"Cum Profit"</c:f>
              <c:strCache>
                <c:ptCount val="1"/>
                <c:pt idx="0">
                  <c:v>Cum Profit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Dashboard!$C$115:$G$115</c:f>
              <c:numCache>
                <c:formatCode>[$$-409]#,##0.00;[RED]\-[$$-409]#,##0.00</c:formatCode>
                <c:ptCount val="5"/>
                <c:pt idx="0">
                  <c:v>40.876673</c:v>
                </c:pt>
                <c:pt idx="1">
                  <c:v>104.668993</c:v>
                </c:pt>
                <c:pt idx="2">
                  <c:v>168.461313</c:v>
                </c:pt>
                <c:pt idx="3">
                  <c:v>232.253633</c:v>
                </c:pt>
                <c:pt idx="4">
                  <c:v>296.045953</c:v>
                </c:pt>
              </c:numCache>
            </c:numRef>
          </c:val>
        </c:ser>
        <c:gapWidth val="150"/>
        <c:overlap val="0"/>
        <c:axId val="91504859"/>
        <c:axId val="57994255"/>
      </c:barChart>
      <c:catAx>
        <c:axId val="91504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94255"/>
        <c:crosses val="autoZero"/>
        <c:auto val="1"/>
        <c:lblAlgn val="ctr"/>
        <c:lblOffset val="100"/>
        <c:noMultiLvlLbl val="0"/>
      </c:catAx>
      <c:valAx>
        <c:axId val="57994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048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Cost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multiLvlStrRef>
              <c:f>Dashboard!$C$120:$I$120</c:f>
              <c:multiLvlStrCache>
                <c:ptCount val="1"/>
                <c:lvl>
                  <c:pt idx="0">
                    <c:v>Contingency</c:v>
                  </c:pt>
                </c:lvl>
                <c:lvl>
                  <c:pt idx="0">
                    <c:v>Financing</c:v>
                  </c:pt>
                </c:lvl>
                <c:lvl>
                  <c:pt idx="0">
                    <c:v>Development</c:v>
                  </c:pt>
                </c:lvl>
                <c:lvl>
                  <c:pt idx="0">
                    <c:v>Equipment</c:v>
                  </c:pt>
                </c:lvl>
                <c:lvl>
                  <c:pt idx="0">
                    <c:v>Implementation</c:v>
                  </c:pt>
                </c:lvl>
                <c:lvl>
                  <c:pt idx="0">
                    <c:v>Operating</c:v>
                  </c:pt>
                </c:lvl>
                <c:lvl>
                  <c:pt idx="0">
                    <c:v>Manufacturing</c:v>
                  </c:pt>
                </c:lvl>
              </c:multiLvlStrCache>
            </c:multiLvlStrRef>
          </c:cat>
          <c:val>
            <c:numRef>
              <c:f>Dashboard!$C$121:$I$121</c:f>
              <c:numCache>
                <c:formatCode>"N$"#,##0</c:formatCode>
                <c:ptCount val="7"/>
                <c:pt idx="0">
                  <c:v>17.899</c:v>
                </c:pt>
                <c:pt idx="1">
                  <c:v>10.844</c:v>
                </c:pt>
                <c:pt idx="2">
                  <c:v>1.5</c:v>
                </c:pt>
                <c:pt idx="3">
                  <c:v>1.965</c:v>
                </c:pt>
                <c:pt idx="4">
                  <c:v>7.851647</c:v>
                </c:pt>
                <c:pt idx="5">
                  <c:v>0.7</c:v>
                </c:pt>
                <c:pt idx="6">
                  <c:v>1.2344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multiLvlStrRef>
              <c:f>Dashboard!$C$125:$I$125</c:f>
              <c:multiLvlStrCache>
                <c:ptCount val="1"/>
                <c:lvl>
                  <c:pt idx="0">
                    <c:v>Real Estate</c:v>
                  </c:pt>
                </c:lvl>
                <c:lvl>
                  <c:pt idx="0">
                    <c:v>App</c:v>
                  </c:pt>
                </c:lvl>
                <c:lvl>
                  <c:pt idx="0">
                    <c:v>SMS</c:v>
                  </c:pt>
                </c:lvl>
                <c:lvl>
                  <c:pt idx="0">
                    <c:v>Wi-Fi</c:v>
                  </c:pt>
                </c:lvl>
                <c:lvl>
                  <c:pt idx="0">
                    <c:v>Maintenance</c:v>
                  </c:pt>
                </c:lvl>
                <c:lvl>
                  <c:pt idx="0">
                    <c:v>Installation</c:v>
                  </c:pt>
                </c:lvl>
                <c:lvl>
                  <c:pt idx="0">
                    <c:v>Hardware</c:v>
                  </c:pt>
                </c:lvl>
              </c:multiLvlStrCache>
            </c:multiLvlStrRef>
          </c:cat>
          <c:val>
            <c:numRef>
              <c:f>Dashboard!$C$126:$I$126</c:f>
              <c:numCache>
                <c:formatCode>General</c:formatCode>
                <c:ptCount val="7"/>
                <c:pt idx="0">
                  <c:v>275</c:v>
                </c:pt>
                <c:pt idx="1">
                  <c:v>7</c:v>
                </c:pt>
                <c:pt idx="2">
                  <c:v>15</c:v>
                </c:pt>
                <c:pt idx="3">
                  <c:v>4.5</c:v>
                </c:pt>
                <c:pt idx="4">
                  <c:v>1.5</c:v>
                </c:pt>
                <c:pt idx="5">
                  <c:v>31.2</c:v>
                </c:pt>
                <c:pt idx="6">
                  <c:v>3.84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Costs (5Y, 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"Operating"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Dashboard!$C$140:$K$140</c:f>
              <c:multiLvlStrCache>
                <c:ptCount val="1"/>
                <c:lvl>
                  <c:pt idx="0">
                    <c:v>Insurance</c:v>
                  </c:pt>
                </c:lvl>
                <c:lvl>
                  <c:pt idx="0">
                    <c:v>Regulatory</c:v>
                  </c:pt>
                </c:lvl>
                <c:lvl>
                  <c:pt idx="0">
                    <c:v>Marketing</c:v>
                  </c:pt>
                </c:lvl>
                <c:lvl>
                  <c:pt idx="0">
                    <c:v>Software</c:v>
                  </c:pt>
                </c:lvl>
                <c:lvl>
                  <c:pt idx="0">
                    <c:v>Office</c:v>
                  </c:pt>
                </c:lvl>
                <c:lvl>
                  <c:pt idx="0">
                    <c:v>Equipment</c:v>
                  </c:pt>
                </c:lvl>
                <c:lvl>
                  <c:pt idx="0">
                    <c:v>Vehicles</c:v>
                  </c:pt>
                </c:lvl>
                <c:lvl>
                  <c:pt idx="0">
                    <c:v>Data Storage</c:v>
                  </c:pt>
                </c:lvl>
                <c:lvl>
                  <c:pt idx="0">
                    <c:v>Personnel</c:v>
                  </c:pt>
                </c:lvl>
              </c:multiLvlStrCache>
            </c:multiLvlStrRef>
          </c:cat>
          <c:val>
            <c:numRef>
              <c:f>Dashboard!$C$141:$K$141</c:f>
              <c:numCache>
                <c:formatCode>"N$"#,##0</c:formatCode>
                <c:ptCount val="9"/>
                <c:pt idx="0">
                  <c:v>3.744</c:v>
                </c:pt>
                <c:pt idx="1">
                  <c:v>2.4</c:v>
                </c:pt>
                <c:pt idx="2">
                  <c:v>0.45</c:v>
                </c:pt>
                <c:pt idx="3">
                  <c:v>0.2</c:v>
                </c:pt>
                <c:pt idx="4">
                  <c:v>1.2</c:v>
                </c:pt>
                <c:pt idx="5">
                  <c:v>0.6</c:v>
                </c:pt>
                <c:pt idx="6">
                  <c:v>1</c:v>
                </c:pt>
                <c:pt idx="7">
                  <c:v>0.5</c:v>
                </c:pt>
                <c:pt idx="8">
                  <c:v>0.75</c:v>
                </c:pt>
              </c:numCache>
            </c:numRef>
          </c:val>
        </c:ser>
        <c:gapWidth val="150"/>
        <c:overlap val="0"/>
        <c:axId val="72260145"/>
        <c:axId val="52789696"/>
      </c:barChart>
      <c:catAx>
        <c:axId val="7226014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89696"/>
        <c:crosses val="autoZero"/>
        <c:auto val="1"/>
        <c:lblAlgn val="ctr"/>
        <c:lblOffset val="100"/>
        <c:noMultiLvlLbl val="0"/>
      </c:catAx>
      <c:valAx>
        <c:axId val="52789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N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0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Revenue, Costs &amp; Profit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Dashboard!$C$131:$G$131</c:f>
              <c:numCache>
                <c:formatCode>"N$"#,##0</c:formatCode>
                <c:ptCount val="5"/>
                <c:pt idx="0">
                  <c:v>101.412</c:v>
                </c:pt>
                <c:pt idx="1">
                  <c:v>169.02</c:v>
                </c:pt>
                <c:pt idx="2">
                  <c:v>338.04</c:v>
                </c:pt>
                <c:pt idx="3">
                  <c:v>676.08</c:v>
                </c:pt>
                <c:pt idx="4">
                  <c:v>1690.2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Dashboard!$C$132:$G$132</c:f>
              <c:numCache>
                <c:formatCode>"N$"#,##0</c:formatCode>
                <c:ptCount val="5"/>
                <c:pt idx="0">
                  <c:v>27.375747</c:v>
                </c:pt>
                <c:pt idx="1">
                  <c:v>32.329547</c:v>
                </c:pt>
                <c:pt idx="2">
                  <c:v>41.994047</c:v>
                </c:pt>
                <c:pt idx="3">
                  <c:v>64.218047</c:v>
                </c:pt>
                <c:pt idx="4">
                  <c:v>118.425047</c:v>
                </c:pt>
              </c:numCache>
            </c:numRef>
          </c:val>
        </c:ser>
        <c:ser>
          <c:idx val="2"/>
          <c:order val="2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Dashboard!$C$133:$G$133</c:f>
              <c:numCache>
                <c:formatCode>"N$"#,##0</c:formatCode>
                <c:ptCount val="5"/>
                <c:pt idx="0">
                  <c:v>74.036253</c:v>
                </c:pt>
                <c:pt idx="1">
                  <c:v>136.690453</c:v>
                </c:pt>
                <c:pt idx="2">
                  <c:v>296.045953</c:v>
                </c:pt>
                <c:pt idx="3">
                  <c:v>611.861953</c:v>
                </c:pt>
                <c:pt idx="4">
                  <c:v>1571.774953</c:v>
                </c:pt>
              </c:numCache>
            </c:numRef>
          </c:val>
        </c:ser>
        <c:gapWidth val="150"/>
        <c:overlap val="0"/>
        <c:axId val="23064991"/>
        <c:axId val="78263058"/>
      </c:barChart>
      <c:catAx>
        <c:axId val="2306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63058"/>
        <c:crosses val="autoZero"/>
        <c:auto val="1"/>
        <c:lblAlgn val="ctr"/>
        <c:lblOffset val="100"/>
        <c:noMultiLvlLbl val="0"/>
      </c:catAx>
      <c:valAx>
        <c:axId val="78263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64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Personnel Headcount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"Headcount"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Dashboard!$C$135:$G$135</c:f>
              <c:numCache>
                <c:formatCode>General</c:formatCode>
                <c:ptCount val="5"/>
                <c:pt idx="0">
                  <c:v>5</c:v>
                </c:pt>
                <c:pt idx="1">
                  <c:v>14</c:v>
                </c:pt>
                <c:pt idx="2">
                  <c:v>28</c:v>
                </c:pt>
                <c:pt idx="3">
                  <c:v>42</c:v>
                </c:pt>
                <c:pt idx="4">
                  <c:v>62</c:v>
                </c:pt>
              </c:numCache>
            </c:numRef>
          </c:val>
        </c:ser>
        <c:gapWidth val="150"/>
        <c:overlap val="0"/>
        <c:axId val="55209220"/>
        <c:axId val="55884511"/>
      </c:barChart>
      <c:catAx>
        <c:axId val="55209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84511"/>
        <c:crosses val="autoZero"/>
        <c:auto val="1"/>
        <c:lblAlgn val="ctr"/>
        <c:lblOffset val="100"/>
        <c:noMultiLvlLbl val="0"/>
      </c:catAx>
      <c:valAx>
        <c:axId val="55884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09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Revenue by Stream (10,000 Meters)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"10,000 Meters"</c:f>
              <c:strCache>
                <c:ptCount val="1"/>
                <c:pt idx="0">
                  <c:v>10,000 Meters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Revenue!$A$27:$A$33</c:f>
              <c:strCache>
                <c:ptCount val="7"/>
                <c:pt idx="0">
                  <c:v>Hardware Sales (N$5,500/yr x 5)</c:v>
                </c:pt>
                <c:pt idx="1">
                  <c:v>Installation Fees (N$700 one-time)</c:v>
                </c:pt>
                <c:pt idx="2">
                  <c:v>Maintenance (N$300/yr x 5)</c:v>
                </c:pt>
                <c:pt idx="3">
                  <c:v>Wi-Fi (N$90/yr x 5)</c:v>
                </c:pt>
                <c:pt idx="4">
                  <c:v>SMS (N$30/yr x 5)</c:v>
                </c:pt>
                <c:pt idx="5">
                  <c:v>Mobile App (N$624/yr x 5)</c:v>
                </c:pt>
                <c:pt idx="6">
                  <c:v>Real Estate (N$76.80/yr x 5)</c:v>
                </c:pt>
              </c:strCache>
            </c:strRef>
          </c:cat>
          <c:val>
            <c:numRef>
              <c:f>Revenue!$D$27:$D$33</c:f>
              <c:numCache>
                <c:formatCode>"N$"#,##0</c:formatCode>
                <c:ptCount val="7"/>
                <c:pt idx="0">
                  <c:v>275000000</c:v>
                </c:pt>
                <c:pt idx="1">
                  <c:v>7000000</c:v>
                </c:pt>
                <c:pt idx="2">
                  <c:v>15000000</c:v>
                </c:pt>
                <c:pt idx="3">
                  <c:v>4500000</c:v>
                </c:pt>
                <c:pt idx="4">
                  <c:v>1500000</c:v>
                </c:pt>
                <c:pt idx="5">
                  <c:v>31200000</c:v>
                </c:pt>
                <c:pt idx="6">
                  <c:v>3840000</c:v>
                </c:pt>
              </c:numCache>
            </c:numRef>
          </c:val>
        </c:ser>
        <c:gapWidth val="150"/>
        <c:overlap val="0"/>
        <c:axId val="18324173"/>
        <c:axId val="53194567"/>
      </c:barChart>
      <c:catAx>
        <c:axId val="18324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4567"/>
        <c:crosses val="autoZero"/>
        <c:auto val="1"/>
        <c:lblAlgn val="ctr"/>
        <c:lblOffset val="100"/>
        <c:noMultiLvlLbl val="0"/>
      </c:catAx>
      <c:valAx>
        <c:axId val="53194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,\B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24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Manufacturing Cost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Cost"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Manufacturing!$B$13:$F$13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Manufacturing!$B$16:$F$16</c:f>
              <c:numCache>
                <c:formatCode>"N$"#,##0</c:formatCode>
                <c:ptCount val="5"/>
                <c:pt idx="0">
                  <c:v>6269700</c:v>
                </c:pt>
                <c:pt idx="1">
                  <c:v>10449500</c:v>
                </c:pt>
                <c:pt idx="2">
                  <c:v>17899000</c:v>
                </c:pt>
                <c:pt idx="3">
                  <c:v>35798000</c:v>
                </c:pt>
                <c:pt idx="4">
                  <c:v>77595000</c:v>
                </c:pt>
              </c:numCache>
            </c:numRef>
          </c:val>
        </c:ser>
        <c:gapWidth val="150"/>
        <c:overlap val="0"/>
        <c:axId val="6329065"/>
        <c:axId val="20586002"/>
      </c:barChart>
      <c:catAx>
        <c:axId val="63290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86002"/>
        <c:crosses val="autoZero"/>
        <c:auto val="1"/>
        <c:lblAlgn val="ctr"/>
        <c:lblOffset val="100"/>
        <c:noMultiLvlLbl val="0"/>
      </c:catAx>
      <c:valAx>
        <c:axId val="2058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90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Headcount by Deployment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"Headcount"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Personnel!$B$4:$F$4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Personnel!$B$35:$F$35</c:f>
              <c:numCache>
                <c:formatCode>#,##0</c:formatCode>
                <c:ptCount val="5"/>
                <c:pt idx="0">
                  <c:v>5</c:v>
                </c:pt>
                <c:pt idx="1">
                  <c:v>14</c:v>
                </c:pt>
                <c:pt idx="2">
                  <c:v>28</c:v>
                </c:pt>
                <c:pt idx="3">
                  <c:v>42</c:v>
                </c:pt>
                <c:pt idx="4">
                  <c:v>62</c:v>
                </c:pt>
              </c:numCache>
            </c:numRef>
          </c:val>
        </c:ser>
        <c:gapWidth val="150"/>
        <c:overlap val="0"/>
        <c:axId val="5758727"/>
        <c:axId val="66015408"/>
      </c:barChart>
      <c:catAx>
        <c:axId val="5758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15408"/>
        <c:crosses val="autoZero"/>
        <c:auto val="1"/>
        <c:lblAlgn val="ctr"/>
        <c:lblOffset val="100"/>
        <c:noMultiLvlLbl val="0"/>
      </c:catAx>
      <c:valAx>
        <c:axId val="66015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Cost Breakdown (10,000 Meters, 5-Year)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"5-Year Cost"</c:f>
              <c:strCache>
                <c:ptCount val="1"/>
                <c:pt idx="0">
                  <c:v>5-Year Cost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Costs'!$A$5:$A$13</c:f>
              <c:strCache>
                <c:ptCount val="9"/>
                <c:pt idx="0">
                  <c:v>Personnel (N$748,800/yr x 5)</c:v>
                </c:pt>
                <c:pt idx="1">
                  <c:v>Data Storage (N$48/meter/yr x 5)</c:v>
                </c:pt>
                <c:pt idx="2">
                  <c:v>Vehicle Maintenance</c:v>
                </c:pt>
                <c:pt idx="3">
                  <c:v>Field Equipment Upkeep</c:v>
                </c:pt>
                <c:pt idx="4">
                  <c:v>Office &amp; Utilities (N$240,000/yr x 5)</c:v>
                </c:pt>
                <c:pt idx="5">
                  <c:v>Software &amp; Tools (N$120,000/yr x 5)</c:v>
                </c:pt>
                <c:pt idx="6">
                  <c:v>Marketing &amp; Branding (N$200,000/yr x 5)</c:v>
                </c:pt>
                <c:pt idx="7">
                  <c:v>Regulatory Compliance (N$100,000/yr x 5)</c:v>
                </c:pt>
                <c:pt idx="8">
                  <c:v>Insurance &amp; Risk (N$150,000/yr x 5)</c:v>
                </c:pt>
              </c:strCache>
            </c:strRef>
          </c:cat>
          <c:val>
            <c:numRef>
              <c:f>'Operating Costs'!$D$5:$D$13</c:f>
              <c:numCache>
                <c:formatCode>"N$"#,##0</c:formatCode>
                <c:ptCount val="9"/>
                <c:pt idx="0">
                  <c:v>3744000</c:v>
                </c:pt>
                <c:pt idx="1">
                  <c:v>2400000</c:v>
                </c:pt>
                <c:pt idx="2">
                  <c:v>450000</c:v>
                </c:pt>
                <c:pt idx="3">
                  <c:v>200000</c:v>
                </c:pt>
                <c:pt idx="4">
                  <c:v>1200000</c:v>
                </c:pt>
                <c:pt idx="5">
                  <c:v>600000</c:v>
                </c:pt>
                <c:pt idx="6">
                  <c:v>1000000</c:v>
                </c:pt>
                <c:pt idx="7">
                  <c:v>500000</c:v>
                </c:pt>
                <c:pt idx="8">
                  <c:v>750000</c:v>
                </c:pt>
              </c:numCache>
            </c:numRef>
          </c:val>
        </c:ser>
        <c:gapWidth val="150"/>
        <c:overlap val="0"/>
        <c:axId val="7239796"/>
        <c:axId val="98617697"/>
      </c:barChart>
      <c:catAx>
        <c:axId val="723979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17697"/>
        <c:crosses val="autoZero"/>
        <c:auto val="1"/>
        <c:lblAlgn val="ctr"/>
        <c:lblOffset val="100"/>
        <c:noMultiLvlLbl val="0"/>
      </c:catAx>
      <c:valAx>
        <c:axId val="98617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97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Implementation Cost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"Implementation"</c:f>
              <c:strCache>
                <c:ptCount val="1"/>
                <c:pt idx="0">
                  <c:v>Implementation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Implementation!$A$5:$A$8</c:f>
              <c:strCache>
                <c:ptCount val="4"/>
                <c:pt idx="0">
                  <c:v>Project Management</c:v>
                </c:pt>
                <c:pt idx="1">
                  <c:v>Site Surveys &amp; Assessment</c:v>
                </c:pt>
                <c:pt idx="2">
                  <c:v>Onboarding &amp; Training</c:v>
                </c:pt>
                <c:pt idx="3">
                  <c:v>System Integration</c:v>
                </c:pt>
              </c:strCache>
            </c:strRef>
          </c:cat>
          <c:val>
            <c:numRef>
              <c:f>Implementation!$D$5:$D$8</c:f>
              <c:numCache>
                <c:formatCode>"N$"#,##0</c:formatCode>
                <c:ptCount val="4"/>
                <c:pt idx="0">
                  <c:v>500000</c:v>
                </c:pt>
                <c:pt idx="1">
                  <c:v>300000</c:v>
                </c:pt>
                <c:pt idx="2">
                  <c:v>250000</c:v>
                </c:pt>
                <c:pt idx="3">
                  <c:v>450000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Equipment Investment by Category &amp;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Equipment!$B$4:$F$4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Equipment!$B$5:$F$5</c:f>
              <c:numCache>
                <c:formatCode>"N$"#,##0</c:formatCode>
                <c:ptCount val="5"/>
                <c:pt idx="0">
                  <c:v>500000</c:v>
                </c:pt>
                <c:pt idx="1">
                  <c:v>500000</c:v>
                </c:pt>
                <c:pt idx="2">
                  <c:v>750000</c:v>
                </c:pt>
                <c:pt idx="3">
                  <c:v>1250000</c:v>
                </c:pt>
                <c:pt idx="4">
                  <c:v>2500000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Equipment!$B$4:$F$4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Equipment!$B$6:$F$6</c:f>
              <c:numCache>
                <c:formatCode>"N$"#,##0</c:formatCode>
                <c:ptCount val="5"/>
                <c:pt idx="0">
                  <c:v>170000</c:v>
                </c:pt>
                <c:pt idx="1">
                  <c:v>255000</c:v>
                </c:pt>
                <c:pt idx="2">
                  <c:v>340000</c:v>
                </c:pt>
                <c:pt idx="3">
                  <c:v>510000</c:v>
                </c:pt>
                <c:pt idx="4">
                  <c:v>1020000</c:v>
                </c:pt>
              </c:numCache>
            </c:numRef>
          </c:val>
        </c:ser>
        <c:ser>
          <c:idx val="2"/>
          <c:order val="2"/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Equipment!$B$4:$F$4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Equipment!$B$7:$F$7</c:f>
              <c:numCache>
                <c:formatCode>"N$"#,##0</c:formatCode>
                <c:ptCount val="5"/>
                <c:pt idx="0">
                  <c:v>45000</c:v>
                </c:pt>
                <c:pt idx="1">
                  <c:v>75000</c:v>
                </c:pt>
                <c:pt idx="2">
                  <c:v>105000</c:v>
                </c:pt>
                <c:pt idx="3">
                  <c:v>180000</c:v>
                </c:pt>
                <c:pt idx="4">
                  <c:v>375000</c:v>
                </c:pt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Equipment!$B$4:$F$4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Equipment!$B$8:$F$8</c:f>
              <c:numCache>
                <c:formatCode>"N$"#,##0</c:formatCode>
                <c:ptCount val="5"/>
                <c:pt idx="0">
                  <c:v>120000</c:v>
                </c:pt>
                <c:pt idx="1">
                  <c:v>120000</c:v>
                </c:pt>
                <c:pt idx="2">
                  <c:v>240000</c:v>
                </c:pt>
                <c:pt idx="3">
                  <c:v>360000</c:v>
                </c:pt>
                <c:pt idx="4">
                  <c:v>600000</c:v>
                </c:pt>
              </c:numCache>
            </c:numRef>
          </c:val>
        </c:ser>
        <c:ser>
          <c:idx val="4"/>
          <c:order val="4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Equipment!$B$4:$F$4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Equipment!$B$9:$F$9</c:f>
              <c:numCache>
                <c:formatCode>"N$"#,##0</c:formatCode>
                <c:ptCount val="5"/>
                <c:pt idx="0">
                  <c:v>119000</c:v>
                </c:pt>
                <c:pt idx="1">
                  <c:v>165000</c:v>
                </c:pt>
                <c:pt idx="2">
                  <c:v>280000</c:v>
                </c:pt>
                <c:pt idx="3">
                  <c:v>510000</c:v>
                </c:pt>
                <c:pt idx="4">
                  <c:v>1200000</c:v>
                </c:pt>
              </c:numCache>
            </c:numRef>
          </c:val>
        </c:ser>
        <c:ser>
          <c:idx val="5"/>
          <c:order val="5"/>
          <c:spPr>
            <a:solidFill>
              <a:srgbClr val="ff63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Equipment!$B$4:$F$4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Equipment!$B$10:$F$10</c:f>
              <c:numCache>
                <c:formatCode>"N$"#,##0</c:formatCode>
                <c:ptCount val="5"/>
                <c:pt idx="0">
                  <c:v>145000</c:v>
                </c:pt>
                <c:pt idx="1">
                  <c:v>175000</c:v>
                </c:pt>
                <c:pt idx="2">
                  <c:v>250000</c:v>
                </c:pt>
                <c:pt idx="3">
                  <c:v>400000</c:v>
                </c:pt>
                <c:pt idx="4">
                  <c:v>850000</c:v>
                </c:pt>
              </c:numCache>
            </c:numRef>
          </c:val>
        </c:ser>
        <c:gapWidth val="150"/>
        <c:overlap val="100"/>
        <c:axId val="99277309"/>
        <c:axId val="88634747"/>
      </c:barChart>
      <c:catAx>
        <c:axId val="99277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34747"/>
        <c:crosses val="autoZero"/>
        <c:auto val="1"/>
        <c:lblAlgn val="ctr"/>
        <c:lblOffset val="100"/>
        <c:noMultiLvlLbl val="0"/>
      </c:catAx>
      <c:valAx>
        <c:axId val="88634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77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Development Cost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"Development"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Development!$A$5:$A$13</c:f>
              <c:strCache>
                <c:ptCount val="9"/>
                <c:pt idx="0">
                  <c:v>Electronics Manufacturing Dev</c:v>
                </c:pt>
                <c:pt idx="1">
                  <c:v>Software R&amp;D</c:v>
                </c:pt>
                <c:pt idx="2">
                  <c:v>Mobile App Development</c:v>
                </c:pt>
                <c:pt idx="3">
                  <c:v>Firmware Development</c:v>
                </c:pt>
                <c:pt idx="4">
                  <c:v>Enclosure Manufacturing</c:v>
                </c:pt>
                <c:pt idx="5">
                  <c:v>Marketing/Branding Launch</c:v>
                </c:pt>
                <c:pt idx="6">
                  <c:v>Regulatory &amp; Legal</c:v>
                </c:pt>
                <c:pt idx="7">
                  <c:v>Office/Logistics Setup</c:v>
                </c:pt>
                <c:pt idx="8">
                  <c:v>Development Contingency (5%)</c:v>
                </c:pt>
              </c:strCache>
            </c:strRef>
          </c:cat>
          <c:val>
            <c:numRef>
              <c:f>Development!$D$5:$D$13</c:f>
              <c:numCache>
                <c:formatCode>"N$"#,##0</c:formatCode>
                <c:ptCount val="9"/>
                <c:pt idx="0">
                  <c:v>312000</c:v>
                </c:pt>
                <c:pt idx="1">
                  <c:v>777747</c:v>
                </c:pt>
                <c:pt idx="2">
                  <c:v>300000</c:v>
                </c:pt>
                <c:pt idx="3">
                  <c:v>2160000</c:v>
                </c:pt>
                <c:pt idx="4">
                  <c:v>1403850</c:v>
                </c:pt>
                <c:pt idx="5">
                  <c:v>325000</c:v>
                </c:pt>
                <c:pt idx="6">
                  <c:v>1060000</c:v>
                </c:pt>
                <c:pt idx="7">
                  <c:v>897400</c:v>
                </c:pt>
                <c:pt idx="8">
                  <c:v>615650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Revenue vs Costs vs Profit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Profitability!$B$21:$F$21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Profitability!$B$22:$F$22</c:f>
              <c:numCache>
                <c:formatCode>"N$"#,##0</c:formatCode>
                <c:ptCount val="5"/>
                <c:pt idx="0">
                  <c:v>101412000</c:v>
                </c:pt>
                <c:pt idx="1">
                  <c:v>169020000</c:v>
                </c:pt>
                <c:pt idx="2">
                  <c:v>338040000</c:v>
                </c:pt>
                <c:pt idx="3">
                  <c:v>676080000</c:v>
                </c:pt>
                <c:pt idx="4">
                  <c:v>1690200000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Profitability!$B$21:$F$21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Profitability!$B$23:$F$23</c:f>
              <c:numCache>
                <c:formatCode>"N$"#,##0</c:formatCode>
                <c:ptCount val="5"/>
                <c:pt idx="0">
                  <c:v>27375747</c:v>
                </c:pt>
                <c:pt idx="1">
                  <c:v>32329547</c:v>
                </c:pt>
                <c:pt idx="2">
                  <c:v>41994047</c:v>
                </c:pt>
                <c:pt idx="3">
                  <c:v>64218047</c:v>
                </c:pt>
                <c:pt idx="4">
                  <c:v>118425047</c:v>
                </c:pt>
              </c:numCache>
            </c:numRef>
          </c:val>
        </c:ser>
        <c:ser>
          <c:idx val="2"/>
          <c:order val="2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Profitability!$B$21:$F$21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Profitability!$B$24:$F$24</c:f>
              <c:numCache>
                <c:formatCode>"N$"#,##0</c:formatCode>
                <c:ptCount val="5"/>
                <c:pt idx="0">
                  <c:v>74036253</c:v>
                </c:pt>
                <c:pt idx="1">
                  <c:v>136690453</c:v>
                </c:pt>
                <c:pt idx="2">
                  <c:v>296045953</c:v>
                </c:pt>
                <c:pt idx="3">
                  <c:v>611861953</c:v>
                </c:pt>
                <c:pt idx="4">
                  <c:v>1571774953</c:v>
                </c:pt>
              </c:numCache>
            </c:numRef>
          </c:val>
        </c:ser>
        <c:gapWidth val="150"/>
        <c:overlap val="0"/>
        <c:axId val="94272469"/>
        <c:axId val="66211262"/>
      </c:barChart>
      <c:catAx>
        <c:axId val="94272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11262"/>
        <c:crosses val="autoZero"/>
        <c:auto val="1"/>
        <c:lblAlgn val="ctr"/>
        <c:lblOffset val="100"/>
        <c:noMultiLvlLbl val="0"/>
      </c:catAx>
      <c:valAx>
        <c:axId val="66211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Billions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,\B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724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11</xdr:col>
      <xdr:colOff>1056960</xdr:colOff>
      <xdr:row>25</xdr:row>
      <xdr:rowOff>62280</xdr:rowOff>
    </xdr:to>
    <xdr:graphicFrame>
      <xdr:nvGraphicFramePr>
        <xdr:cNvPr id="0" name="Chart 1"/>
        <xdr:cNvGraphicFramePr/>
      </xdr:nvGraphicFramePr>
      <xdr:xfrm>
        <a:off x="4311720" y="20480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16</xdr:col>
      <xdr:colOff>639000</xdr:colOff>
      <xdr:row>38</xdr:row>
      <xdr:rowOff>109440</xdr:rowOff>
    </xdr:to>
    <xdr:graphicFrame>
      <xdr:nvGraphicFramePr>
        <xdr:cNvPr id="1" name="Chart 2"/>
        <xdr:cNvGraphicFramePr/>
      </xdr:nvGraphicFramePr>
      <xdr:xfrm>
        <a:off x="9734400" y="51148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5</xdr:col>
      <xdr:colOff>861120</xdr:colOff>
      <xdr:row>40</xdr:row>
      <xdr:rowOff>156960</xdr:rowOff>
    </xdr:to>
    <xdr:graphicFrame>
      <xdr:nvGraphicFramePr>
        <xdr:cNvPr id="2" name="Chart 3"/>
        <xdr:cNvGraphicFramePr/>
      </xdr:nvGraphicFramePr>
      <xdr:xfrm>
        <a:off x="133200" y="56196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9</xdr:col>
      <xdr:colOff>772560</xdr:colOff>
      <xdr:row>40</xdr:row>
      <xdr:rowOff>156960</xdr:rowOff>
    </xdr:to>
    <xdr:graphicFrame>
      <xdr:nvGraphicFramePr>
        <xdr:cNvPr id="3" name="Chart 4"/>
        <xdr:cNvGraphicFramePr/>
      </xdr:nvGraphicFramePr>
      <xdr:xfrm>
        <a:off x="4311720" y="56196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7</xdr:row>
      <xdr:rowOff>0</xdr:rowOff>
    </xdr:from>
    <xdr:to>
      <xdr:col>16</xdr:col>
      <xdr:colOff>639000</xdr:colOff>
      <xdr:row>25</xdr:row>
      <xdr:rowOff>62280</xdr:rowOff>
    </xdr:to>
    <xdr:graphicFrame>
      <xdr:nvGraphicFramePr>
        <xdr:cNvPr id="4" name="Chart 5"/>
        <xdr:cNvGraphicFramePr/>
      </xdr:nvGraphicFramePr>
      <xdr:xfrm>
        <a:off x="9734400" y="20480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7</xdr:col>
      <xdr:colOff>167760</xdr:colOff>
      <xdr:row>63</xdr:row>
      <xdr:rowOff>204840</xdr:rowOff>
    </xdr:to>
    <xdr:graphicFrame>
      <xdr:nvGraphicFramePr>
        <xdr:cNvPr id="5" name="Chart 6"/>
        <xdr:cNvGraphicFramePr/>
      </xdr:nvGraphicFramePr>
      <xdr:xfrm>
        <a:off x="133200" y="109728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45</xdr:row>
      <xdr:rowOff>0</xdr:rowOff>
    </xdr:from>
    <xdr:to>
      <xdr:col>16</xdr:col>
      <xdr:colOff>639000</xdr:colOff>
      <xdr:row>63</xdr:row>
      <xdr:rowOff>204840</xdr:rowOff>
    </xdr:to>
    <xdr:graphicFrame>
      <xdr:nvGraphicFramePr>
        <xdr:cNvPr id="6" name="Chart 7"/>
        <xdr:cNvGraphicFramePr/>
      </xdr:nvGraphicFramePr>
      <xdr:xfrm>
        <a:off x="9734400" y="109728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142920</xdr:rowOff>
    </xdr:from>
    <xdr:to>
      <xdr:col>3</xdr:col>
      <xdr:colOff>452160</xdr:colOff>
      <xdr:row>56</xdr:row>
      <xdr:rowOff>51120</xdr:rowOff>
    </xdr:to>
    <xdr:graphicFrame>
      <xdr:nvGraphicFramePr>
        <xdr:cNvPr id="7" name="Chart 1"/>
        <xdr:cNvGraphicFramePr/>
      </xdr:nvGraphicFramePr>
      <xdr:xfrm>
        <a:off x="0" y="6858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3</xdr:col>
      <xdr:colOff>265320</xdr:colOff>
      <xdr:row>46</xdr:row>
      <xdr:rowOff>69120</xdr:rowOff>
    </xdr:to>
    <xdr:graphicFrame>
      <xdr:nvGraphicFramePr>
        <xdr:cNvPr id="8" name="Chart 1"/>
        <xdr:cNvGraphicFramePr/>
      </xdr:nvGraphicFramePr>
      <xdr:xfrm>
        <a:off x="0" y="45720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69</xdr:row>
      <xdr:rowOff>151920</xdr:rowOff>
    </xdr:from>
    <xdr:to>
      <xdr:col>4</xdr:col>
      <xdr:colOff>798840</xdr:colOff>
      <xdr:row>92</xdr:row>
      <xdr:rowOff>60120</xdr:rowOff>
    </xdr:to>
    <xdr:graphicFrame>
      <xdr:nvGraphicFramePr>
        <xdr:cNvPr id="9" name="Chart 1"/>
        <xdr:cNvGraphicFramePr/>
      </xdr:nvGraphicFramePr>
      <xdr:xfrm>
        <a:off x="0" y="135255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160920</xdr:rowOff>
    </xdr:from>
    <xdr:to>
      <xdr:col>3</xdr:col>
      <xdr:colOff>985320</xdr:colOff>
      <xdr:row>42</xdr:row>
      <xdr:rowOff>27000</xdr:rowOff>
    </xdr:to>
    <xdr:graphicFrame>
      <xdr:nvGraphicFramePr>
        <xdr:cNvPr id="10" name="Chart 1"/>
        <xdr:cNvGraphicFramePr/>
      </xdr:nvGraphicFramePr>
      <xdr:xfrm>
        <a:off x="0" y="30481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2</xdr:col>
      <xdr:colOff>425520</xdr:colOff>
      <xdr:row>33</xdr:row>
      <xdr:rowOff>69120</xdr:rowOff>
    </xdr:to>
    <xdr:graphicFrame>
      <xdr:nvGraphicFramePr>
        <xdr:cNvPr id="11" name="Chart 1"/>
        <xdr:cNvGraphicFramePr/>
      </xdr:nvGraphicFramePr>
      <xdr:xfrm>
        <a:off x="0" y="2095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160560</xdr:rowOff>
    </xdr:from>
    <xdr:to>
      <xdr:col>3</xdr:col>
      <xdr:colOff>985320</xdr:colOff>
      <xdr:row>46</xdr:row>
      <xdr:rowOff>27000</xdr:rowOff>
    </xdr:to>
    <xdr:graphicFrame>
      <xdr:nvGraphicFramePr>
        <xdr:cNvPr id="12" name="Chart 1"/>
        <xdr:cNvGraphicFramePr/>
      </xdr:nvGraphicFramePr>
      <xdr:xfrm>
        <a:off x="0" y="3809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160920</xdr:rowOff>
    </xdr:from>
    <xdr:to>
      <xdr:col>2</xdr:col>
      <xdr:colOff>1145520</xdr:colOff>
      <xdr:row>42</xdr:row>
      <xdr:rowOff>27000</xdr:rowOff>
    </xdr:to>
    <xdr:graphicFrame>
      <xdr:nvGraphicFramePr>
        <xdr:cNvPr id="13" name="Chart 1"/>
        <xdr:cNvGraphicFramePr/>
      </xdr:nvGraphicFramePr>
      <xdr:xfrm>
        <a:off x="0" y="304812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160560</xdr:rowOff>
    </xdr:from>
    <xdr:to>
      <xdr:col>3</xdr:col>
      <xdr:colOff>985320</xdr:colOff>
      <xdr:row>68</xdr:row>
      <xdr:rowOff>27000</xdr:rowOff>
    </xdr:to>
    <xdr:graphicFrame>
      <xdr:nvGraphicFramePr>
        <xdr:cNvPr id="14" name="Chart 1"/>
        <xdr:cNvGraphicFramePr/>
      </xdr:nvGraphicFramePr>
      <xdr:xfrm>
        <a:off x="0" y="8001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P1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"/>
    <col collapsed="false" customWidth="true" hidden="false" outlineLevel="0" max="10" min="6" style="0" width="12"/>
    <col collapsed="false" customWidth="true" hidden="false" outlineLevel="0" max="11" min="11" style="0" width="1"/>
    <col collapsed="false" customWidth="true" hidden="false" outlineLevel="0" max="15" min="12" style="0" width="12"/>
    <col collapsed="false" customWidth="true" hidden="false" outlineLevel="0" max="16" min="16" style="0" width="1.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24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36" hidden="false" customHeight="true" outlineLevel="0" collapsed="false">
      <c r="A5" s="1"/>
      <c r="B5" s="4" t="str">
        <f aca="false">"N$"&amp;TEXT(INDEX($C$102:$G$102,1,$C$91)/1000000,"#,##0")&amp;"M"</f>
        <v>N$338M</v>
      </c>
      <c r="C5" s="4"/>
      <c r="D5" s="1"/>
      <c r="E5" s="1"/>
      <c r="F5" s="4" t="str">
        <f aca="false">"N$"&amp;TEXT(INDEX($C$103:$G$103,1,$C$91)/1000000,"#,##0")&amp;"M"</f>
        <v>N$296M</v>
      </c>
      <c r="G5" s="4"/>
      <c r="H5" s="1"/>
      <c r="I5" s="5" t="str">
        <f aca="false">TEXT(INDEX($C$104:$G$104,1,$C$91)*100,"0.0")&amp;"%"</f>
        <v>87.6%</v>
      </c>
      <c r="J5" s="5"/>
      <c r="K5" s="1"/>
      <c r="L5" s="6" t="str">
        <f aca="false">TEXT(INDEX($C$105:$G$105,1,$C$91),"0.0")&amp;" months"</f>
        <v>4.2 months</v>
      </c>
      <c r="M5" s="6"/>
      <c r="N5" s="7" t="s">
        <v>2</v>
      </c>
      <c r="O5" s="7"/>
      <c r="P5" s="1"/>
    </row>
    <row r="6" customFormat="false" ht="15.75" hidden="false" customHeight="true" outlineLevel="0" collapsed="false">
      <c r="A6" s="1"/>
      <c r="B6" s="8" t="s">
        <v>3</v>
      </c>
      <c r="C6" s="8"/>
      <c r="D6" s="1"/>
      <c r="E6" s="1"/>
      <c r="F6" s="8" t="s">
        <v>4</v>
      </c>
      <c r="G6" s="8"/>
      <c r="H6" s="1"/>
      <c r="I6" s="8" t="s">
        <v>5</v>
      </c>
      <c r="J6" s="8"/>
      <c r="K6" s="1"/>
      <c r="L6" s="8" t="s">
        <v>6</v>
      </c>
      <c r="M6" s="8"/>
      <c r="N6" s="9" t="s">
        <v>7</v>
      </c>
      <c r="O6" s="9"/>
      <c r="P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21.75" hidden="false" customHeight="true" outlineLevel="0" collapsed="false">
      <c r="A8" s="1"/>
      <c r="B8" s="10" t="s">
        <v>8</v>
      </c>
      <c r="C8" s="10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customFormat="false" ht="18" hidden="false" customHeight="true" outlineLevel="0" collapsed="false">
      <c r="A9" s="1"/>
      <c r="B9" s="11" t="s">
        <v>9</v>
      </c>
      <c r="C9" s="12" t="str">
        <f aca="false">TEXT(INDEX($C$92:$G$92,1,$C$91),"#,##0")</f>
        <v>10,000</v>
      </c>
      <c r="D9" s="13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8" hidden="false" customHeight="true" outlineLevel="0" collapsed="false">
      <c r="A10" s="1"/>
      <c r="B10" s="11" t="s">
        <v>11</v>
      </c>
      <c r="C10" s="12" t="s">
        <v>12</v>
      </c>
      <c r="D10" s="13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8" hidden="false" customHeight="true" outlineLevel="0" collapsed="false">
      <c r="A11" s="1"/>
      <c r="B11" s="11" t="s">
        <v>14</v>
      </c>
      <c r="C11" s="12" t="s">
        <v>15</v>
      </c>
      <c r="D11" s="13" t="s">
        <v>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8" hidden="false" customHeight="true" outlineLevel="0" collapsed="false">
      <c r="A12" s="1"/>
      <c r="B12" s="11" t="s">
        <v>17</v>
      </c>
      <c r="C12" s="12" t="str">
        <f aca="false">"N$"&amp;TEXT(INDEX($C$93:$G$93,1,$C$91),"#,##0")</f>
        <v>N$1,700</v>
      </c>
      <c r="D12" s="13" t="s">
        <v>18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8" hidden="false" customHeight="true" outlineLevel="0" collapsed="false">
      <c r="A13" s="1"/>
      <c r="B13" s="11" t="s">
        <v>19</v>
      </c>
      <c r="C13" s="12" t="s">
        <v>20</v>
      </c>
      <c r="D13" s="13" t="s">
        <v>21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8" hidden="false" customHeight="true" outlineLevel="0" collapsed="false">
      <c r="A14" s="1"/>
      <c r="B14" s="11" t="s">
        <v>22</v>
      </c>
      <c r="C14" s="12" t="str">
        <f aca="false">"N$"&amp;TEXT(INDEX($C$92:$G$92,1,$C$91)*6620.8,"#,##0")</f>
        <v>N$66,208,000</v>
      </c>
      <c r="D14" s="13" t="s">
        <v>21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21.75" hidden="false" customHeight="true" outlineLevel="0" collapsed="false">
      <c r="A16" s="1"/>
      <c r="B16" s="10" t="s">
        <v>23</v>
      </c>
      <c r="C16" s="10"/>
      <c r="D16" s="1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8" hidden="false" customHeight="true" outlineLevel="0" collapsed="false">
      <c r="A17" s="1"/>
      <c r="B17" s="11" t="s">
        <v>24</v>
      </c>
      <c r="C17" s="12" t="str">
        <f aca="false">"N$"&amp;TEXT(INDEX($C$102:$G$102,1,$C$91),"#,##0")</f>
        <v>N$338,040,000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8" hidden="false" customHeight="true" outlineLevel="0" collapsed="false">
      <c r="A18" s="1"/>
      <c r="B18" s="11" t="s">
        <v>25</v>
      </c>
      <c r="C18" s="14" t="str">
        <f aca="false">"N$"&amp;TEXT(INDEX($C$101:$G$101,1,$C$91),"#,##0")</f>
        <v>N$41,994,047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8" hidden="false" customHeight="true" outlineLevel="0" collapsed="false">
      <c r="A19" s="1"/>
      <c r="B19" s="11" t="s">
        <v>26</v>
      </c>
      <c r="C19" s="15" t="str">
        <f aca="false">"N$"&amp;TEXT(INDEX($C$103:$G$103,1,$C$91),"#,##0")</f>
        <v>N$296,045,953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8" hidden="false" customHeight="true" outlineLevel="0" collapsed="false">
      <c r="A20" s="1"/>
      <c r="B20" s="11" t="s">
        <v>27</v>
      </c>
      <c r="C20" s="12" t="str">
        <f aca="false">TEXT(IF(INDEX($C$101:$G$101,1,$C$91)&gt;0,INDEX($C$103:$G$103,1,$C$91)/INDEX($C$101:$G$101,1,$C$91),0)*100,"#,##0")&amp;"%"</f>
        <v>705%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8" hidden="false" customHeight="true" outlineLevel="0" collapsed="false">
      <c r="A21" s="1"/>
      <c r="B21" s="11" t="s">
        <v>28</v>
      </c>
      <c r="C21" s="12" t="str">
        <f aca="false">"N$"&amp;TEXT(INDEX($C$106:$G$106,1,$C$91),"#,##0")</f>
        <v>N$259,647,182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21.75" hidden="false" customHeight="true" outlineLevel="0" collapsed="false">
      <c r="A22" s="1"/>
      <c r="B22" s="10" t="s">
        <v>29</v>
      </c>
      <c r="C22" s="10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21.75" hidden="false" customHeight="true" outlineLevel="0" collapsed="false">
      <c r="A36" s="1"/>
      <c r="B36" s="10" t="s">
        <v>30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"/>
    </row>
    <row r="37" customFormat="false" ht="18" hidden="false" customHeight="true" outlineLevel="0" collapsed="false">
      <c r="A37" s="1"/>
      <c r="B37" s="16" t="s">
        <v>31</v>
      </c>
      <c r="C37" s="16"/>
      <c r="D37" s="16"/>
      <c r="E37" s="1"/>
      <c r="F37" s="17" t="s">
        <v>32</v>
      </c>
      <c r="G37" s="1"/>
      <c r="H37" s="17" t="s">
        <v>33</v>
      </c>
      <c r="I37" s="1"/>
      <c r="J37" s="17" t="s">
        <v>34</v>
      </c>
      <c r="K37" s="1"/>
      <c r="L37" s="17" t="s">
        <v>35</v>
      </c>
      <c r="M37" s="1"/>
      <c r="N37" s="17" t="s">
        <v>36</v>
      </c>
      <c r="O37" s="1"/>
      <c r="P37" s="1"/>
    </row>
    <row r="38" customFormat="false" ht="18" hidden="false" customHeight="true" outlineLevel="0" collapsed="false">
      <c r="A38" s="1"/>
      <c r="B38" s="18" t="s">
        <v>37</v>
      </c>
      <c r="C38" s="18"/>
      <c r="D38" s="18"/>
      <c r="E38" s="1"/>
      <c r="F38" s="19" t="n">
        <f aca="false">C102</f>
        <v>101412000</v>
      </c>
      <c r="G38" s="1"/>
      <c r="H38" s="19" t="n">
        <f aca="false">D102</f>
        <v>169020000</v>
      </c>
      <c r="I38" s="1"/>
      <c r="J38" s="20" t="n">
        <f aca="false">E102</f>
        <v>338040000</v>
      </c>
      <c r="K38" s="1"/>
      <c r="L38" s="19" t="n">
        <f aca="false">F102</f>
        <v>676080000</v>
      </c>
      <c r="M38" s="1"/>
      <c r="N38" s="19" t="n">
        <f aca="false">G102</f>
        <v>1690200000</v>
      </c>
      <c r="O38" s="1"/>
      <c r="P38" s="1"/>
    </row>
    <row r="39" customFormat="false" ht="18" hidden="false" customHeight="true" outlineLevel="0" collapsed="false">
      <c r="A39" s="1"/>
      <c r="B39" s="21" t="s">
        <v>38</v>
      </c>
      <c r="C39" s="21"/>
      <c r="D39" s="21"/>
      <c r="E39" s="1"/>
      <c r="F39" s="22" t="n">
        <f aca="false">C101</f>
        <v>27375747</v>
      </c>
      <c r="G39" s="1"/>
      <c r="H39" s="22" t="n">
        <f aca="false">D101</f>
        <v>32329547</v>
      </c>
      <c r="I39" s="1"/>
      <c r="J39" s="23" t="n">
        <f aca="false">E101</f>
        <v>41994047</v>
      </c>
      <c r="K39" s="1"/>
      <c r="L39" s="22" t="n">
        <f aca="false">F101</f>
        <v>64218047</v>
      </c>
      <c r="M39" s="1"/>
      <c r="N39" s="22" t="n">
        <f aca="false">G101</f>
        <v>118425047</v>
      </c>
      <c r="O39" s="1"/>
      <c r="P39" s="1"/>
    </row>
    <row r="40" customFormat="false" ht="18" hidden="false" customHeight="true" outlineLevel="0" collapsed="false">
      <c r="A40" s="1"/>
      <c r="B40" s="18" t="s">
        <v>4</v>
      </c>
      <c r="C40" s="18"/>
      <c r="D40" s="18"/>
      <c r="E40" s="1"/>
      <c r="F40" s="19" t="n">
        <f aca="false">C103</f>
        <v>74036253</v>
      </c>
      <c r="G40" s="1"/>
      <c r="H40" s="19" t="n">
        <f aca="false">D103</f>
        <v>136690453</v>
      </c>
      <c r="I40" s="1"/>
      <c r="J40" s="20" t="n">
        <f aca="false">E103</f>
        <v>296045953</v>
      </c>
      <c r="K40" s="1"/>
      <c r="L40" s="19" t="n">
        <f aca="false">F103</f>
        <v>611861953</v>
      </c>
      <c r="M40" s="1"/>
      <c r="N40" s="19" t="n">
        <f aca="false">G103</f>
        <v>1571774953</v>
      </c>
      <c r="O40" s="1"/>
      <c r="P40" s="1"/>
    </row>
    <row r="41" customFormat="false" ht="18" hidden="false" customHeight="true" outlineLevel="0" collapsed="false">
      <c r="A41" s="1"/>
      <c r="B41" s="21" t="s">
        <v>5</v>
      </c>
      <c r="C41" s="21"/>
      <c r="D41" s="21"/>
      <c r="E41" s="1"/>
      <c r="F41" s="24" t="n">
        <f aca="false">C104</f>
        <v>0.730054165187552</v>
      </c>
      <c r="G41" s="1"/>
      <c r="H41" s="24" t="n">
        <f aca="false">D104</f>
        <v>0.808723541592711</v>
      </c>
      <c r="I41" s="1"/>
      <c r="J41" s="25" t="n">
        <f aca="false">E104</f>
        <v>0.87577195893977</v>
      </c>
      <c r="K41" s="1"/>
      <c r="L41" s="24" t="n">
        <f aca="false">F104</f>
        <v>0.905014129984617</v>
      </c>
      <c r="M41" s="1"/>
      <c r="N41" s="24" t="n">
        <f aca="false">G104</f>
        <v>0.929934299491184</v>
      </c>
      <c r="O41" s="1"/>
      <c r="P41" s="1"/>
    </row>
    <row r="42" customFormat="false" ht="18" hidden="false" customHeight="true" outlineLevel="0" collapsed="false">
      <c r="A42" s="1"/>
      <c r="B42" s="18" t="s">
        <v>39</v>
      </c>
      <c r="C42" s="18"/>
      <c r="D42" s="18"/>
      <c r="E42" s="1"/>
      <c r="F42" s="26" t="n">
        <f aca="false">C105</f>
        <v>7.6</v>
      </c>
      <c r="G42" s="1"/>
      <c r="H42" s="26" t="n">
        <f aca="false">D105</f>
        <v>7.2</v>
      </c>
      <c r="I42" s="1"/>
      <c r="J42" s="27" t="n">
        <f aca="false">E105</f>
        <v>4.2</v>
      </c>
      <c r="K42" s="1"/>
      <c r="L42" s="26" t="n">
        <f aca="false">F105</f>
        <v>3.9</v>
      </c>
      <c r="M42" s="1"/>
      <c r="N42" s="26" t="n">
        <f aca="false">G105</f>
        <v>3.5</v>
      </c>
      <c r="O42" s="1"/>
      <c r="P42" s="1"/>
    </row>
    <row r="43" customFormat="false" ht="18" hidden="false" customHeight="true" outlineLevel="0" collapsed="false">
      <c r="A43" s="1"/>
      <c r="B43" s="21" t="s">
        <v>40</v>
      </c>
      <c r="C43" s="21"/>
      <c r="D43" s="21"/>
      <c r="E43" s="1"/>
      <c r="F43" s="24" t="n">
        <f aca="false">IF(C101&gt;0,C103/C101,0)</f>
        <v>2.70444685947748</v>
      </c>
      <c r="G43" s="1"/>
      <c r="H43" s="24" t="n">
        <f aca="false">IF(D101&gt;0,D103/D101,0)</f>
        <v>4.22803489946828</v>
      </c>
      <c r="I43" s="1"/>
      <c r="J43" s="25" t="n">
        <f aca="false">IF(E101&gt;0,E103/E101,0)</f>
        <v>7.04971237947131</v>
      </c>
      <c r="K43" s="1"/>
      <c r="L43" s="24" t="n">
        <f aca="false">IF(F101&gt;0,F103/F101,0)</f>
        <v>9.52788167164287</v>
      </c>
      <c r="M43" s="1"/>
      <c r="N43" s="24" t="n">
        <f aca="false">IF(G101&gt;0,G103/G101,0)</f>
        <v>13.2723185915223</v>
      </c>
      <c r="O43" s="1"/>
      <c r="P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21.75" hidden="false" customHeight="true" outlineLevel="0" collapsed="false">
      <c r="A45" s="1"/>
      <c r="B45" s="10" t="s">
        <v>41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8" hidden="false" customHeight="true" outlineLevel="0" collapsed="false">
      <c r="A62" s="1"/>
      <c r="B62" s="28" t="s">
        <v>42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90" customFormat="false" ht="15" hidden="false" customHeight="false" outlineLevel="0" collapsed="false">
      <c r="C90" s="29" t="s">
        <v>43</v>
      </c>
      <c r="D90" s="29" t="s">
        <v>44</v>
      </c>
      <c r="E90" s="29" t="s">
        <v>7</v>
      </c>
      <c r="F90" s="29" t="s">
        <v>45</v>
      </c>
      <c r="G90" s="29" t="s">
        <v>46</v>
      </c>
    </row>
    <row r="91" customFormat="false" ht="15" hidden="false" customHeight="false" outlineLevel="0" collapsed="false">
      <c r="C91" s="29" t="n">
        <f aca="false">MATCH($N$6,$C$90:$G$90,0)</f>
        <v>3</v>
      </c>
    </row>
    <row r="92" customFormat="false" ht="15" hidden="false" customHeight="false" outlineLevel="0" collapsed="false">
      <c r="C92" s="29" t="n">
        <v>3000</v>
      </c>
      <c r="D92" s="29" t="n">
        <v>5000</v>
      </c>
      <c r="E92" s="29" t="n">
        <v>10000</v>
      </c>
      <c r="F92" s="29" t="n">
        <v>20000</v>
      </c>
      <c r="G92" s="29" t="n">
        <v>50000</v>
      </c>
    </row>
    <row r="93" customFormat="false" ht="15" hidden="false" customHeight="false" outlineLevel="0" collapsed="false">
      <c r="C93" s="29" t="n">
        <v>2000</v>
      </c>
      <c r="D93" s="29" t="n">
        <v>2000</v>
      </c>
      <c r="E93" s="29" t="n">
        <v>1700</v>
      </c>
      <c r="F93" s="29" t="n">
        <v>1700</v>
      </c>
      <c r="G93" s="29" t="n">
        <v>1462</v>
      </c>
    </row>
    <row r="94" customFormat="false" ht="15" hidden="false" customHeight="false" outlineLevel="0" collapsed="false">
      <c r="C94" s="30" t="n">
        <f aca="false">Manufacturing!B16</f>
        <v>6269700</v>
      </c>
      <c r="D94" s="30" t="n">
        <f aca="false">Manufacturing!C16</f>
        <v>10449500</v>
      </c>
      <c r="E94" s="30" t="n">
        <f aca="false">Manufacturing!D16</f>
        <v>17899000</v>
      </c>
      <c r="F94" s="30" t="n">
        <f aca="false">Manufacturing!E16</f>
        <v>35798000</v>
      </c>
      <c r="G94" s="30" t="n">
        <f aca="false">Manufacturing!F16</f>
        <v>77595000</v>
      </c>
    </row>
    <row r="95" customFormat="false" ht="15" hidden="false" customHeight="false" outlineLevel="0" collapsed="false">
      <c r="C95" s="30" t="n">
        <f aca="false">'Operating Costs'!B14</f>
        <v>8914000</v>
      </c>
      <c r="D95" s="30" t="n">
        <f aca="false">'Operating Costs'!C14</f>
        <v>9444000</v>
      </c>
      <c r="E95" s="30" t="n">
        <f aca="false">'Operating Costs'!D14</f>
        <v>10844000</v>
      </c>
      <c r="F95" s="30" t="n">
        <f aca="false">'Operating Costs'!E14</f>
        <v>13644000</v>
      </c>
      <c r="G95" s="30" t="n">
        <f aca="false">'Operating Costs'!F14</f>
        <v>21894000</v>
      </c>
    </row>
    <row r="96" customFormat="false" ht="15" hidden="false" customHeight="false" outlineLevel="0" collapsed="false">
      <c r="C96" s="30" t="n">
        <f aca="false">Implementation!B9</f>
        <v>1500000</v>
      </c>
      <c r="D96" s="30" t="n">
        <f aca="false">Implementation!C9</f>
        <v>1500000</v>
      </c>
      <c r="E96" s="30" t="n">
        <f aca="false">Implementation!D9</f>
        <v>1500000</v>
      </c>
      <c r="F96" s="30" t="n">
        <f aca="false">Implementation!E9</f>
        <v>1500000</v>
      </c>
      <c r="G96" s="30" t="n">
        <f aca="false">Implementation!F9</f>
        <v>1500000</v>
      </c>
    </row>
    <row r="97" customFormat="false" ht="15" hidden="false" customHeight="false" outlineLevel="0" collapsed="false">
      <c r="C97" s="30" t="n">
        <f aca="false">Equipment!B11</f>
        <v>1099000</v>
      </c>
      <c r="D97" s="30" t="n">
        <f aca="false">Equipment!C11</f>
        <v>1290000</v>
      </c>
      <c r="E97" s="30" t="n">
        <f aca="false">Equipment!D11</f>
        <v>1965000</v>
      </c>
      <c r="F97" s="30" t="n">
        <f aca="false">Equipment!E11</f>
        <v>3210000</v>
      </c>
      <c r="G97" s="30" t="n">
        <f aca="false">Equipment!F11</f>
        <v>6545000</v>
      </c>
    </row>
    <row r="98" customFormat="false" ht="15" hidden="false" customHeight="false" outlineLevel="0" collapsed="false">
      <c r="C98" s="30" t="n">
        <f aca="false">Development!B14</f>
        <v>7851647</v>
      </c>
      <c r="D98" s="30" t="n">
        <f aca="false">Development!C14</f>
        <v>7851647</v>
      </c>
      <c r="E98" s="30" t="n">
        <f aca="false">Development!D14</f>
        <v>7851647</v>
      </c>
      <c r="F98" s="30" t="n">
        <f aca="false">Development!E14</f>
        <v>7851647</v>
      </c>
      <c r="G98" s="30" t="n">
        <f aca="false">Development!F14</f>
        <v>7851647</v>
      </c>
    </row>
    <row r="99" customFormat="false" ht="15" hidden="false" customHeight="false" outlineLevel="0" collapsed="false">
      <c r="C99" s="30" t="n">
        <f aca="false">Financing!B7</f>
        <v>700000</v>
      </c>
      <c r="D99" s="30" t="n">
        <f aca="false">Financing!C7</f>
        <v>700000</v>
      </c>
      <c r="E99" s="30" t="n">
        <f aca="false">Financing!D7</f>
        <v>700000</v>
      </c>
      <c r="F99" s="30" t="n">
        <f aca="false">Financing!E7</f>
        <v>700000</v>
      </c>
      <c r="G99" s="30" t="n">
        <f aca="false">Financing!F7</f>
        <v>700000</v>
      </c>
    </row>
    <row r="100" customFormat="false" ht="15" hidden="false" customHeight="false" outlineLevel="0" collapsed="false">
      <c r="C100" s="30" t="n">
        <f aca="false">Financing!B13</f>
        <v>1041400</v>
      </c>
      <c r="D100" s="30" t="n">
        <f aca="false">Financing!C13</f>
        <v>1094400</v>
      </c>
      <c r="E100" s="30" t="n">
        <f aca="false">Financing!D13</f>
        <v>1234400</v>
      </c>
      <c r="F100" s="30" t="n">
        <f aca="false">Financing!E13</f>
        <v>1514400</v>
      </c>
      <c r="G100" s="30" t="n">
        <f aca="false">Financing!F13</f>
        <v>2339400</v>
      </c>
    </row>
    <row r="101" customFormat="false" ht="15" hidden="false" customHeight="false" outlineLevel="0" collapsed="false">
      <c r="C101" s="30" t="n">
        <f aca="false">SUM(C94:C100)</f>
        <v>27375747</v>
      </c>
      <c r="D101" s="30" t="n">
        <f aca="false">SUM(D94:D100)</f>
        <v>32329547</v>
      </c>
      <c r="E101" s="30" t="n">
        <f aca="false">SUM(E94:E100)</f>
        <v>41994047</v>
      </c>
      <c r="F101" s="30" t="n">
        <f aca="false">SUM(F94:F100)</f>
        <v>64218047</v>
      </c>
      <c r="G101" s="30" t="n">
        <f aca="false">SUM(G94:G100)</f>
        <v>118425047</v>
      </c>
    </row>
    <row r="102" customFormat="false" ht="15" hidden="false" customHeight="false" outlineLevel="0" collapsed="false">
      <c r="C102" s="30" t="n">
        <f aca="false">Revenue!B34</f>
        <v>101412000</v>
      </c>
      <c r="D102" s="30" t="n">
        <f aca="false">Revenue!C34</f>
        <v>169020000</v>
      </c>
      <c r="E102" s="30" t="n">
        <f aca="false">Revenue!D34</f>
        <v>338040000</v>
      </c>
      <c r="F102" s="30" t="n">
        <f aca="false">Revenue!E34</f>
        <v>676080000</v>
      </c>
      <c r="G102" s="30" t="n">
        <f aca="false">Revenue!F34</f>
        <v>1690200000</v>
      </c>
    </row>
    <row r="103" customFormat="false" ht="15" hidden="false" customHeight="false" outlineLevel="0" collapsed="false">
      <c r="C103" s="30" t="n">
        <f aca="false">C102-C101</f>
        <v>74036253</v>
      </c>
      <c r="D103" s="30" t="n">
        <f aca="false">D102-D101</f>
        <v>136690453</v>
      </c>
      <c r="E103" s="30" t="n">
        <f aca="false">E102-E101</f>
        <v>296045953</v>
      </c>
      <c r="F103" s="30" t="n">
        <f aca="false">F102-F101</f>
        <v>611861953</v>
      </c>
      <c r="G103" s="30" t="n">
        <f aca="false">G102-G101</f>
        <v>1571774953</v>
      </c>
    </row>
    <row r="104" customFormat="false" ht="15" hidden="false" customHeight="false" outlineLevel="0" collapsed="false">
      <c r="C104" s="29" t="n">
        <f aca="false">IF(C102&gt;0,C103/C102,0)</f>
        <v>0.730054165187552</v>
      </c>
      <c r="D104" s="29" t="n">
        <f aca="false">IF(D102&gt;0,D103/D102,0)</f>
        <v>0.808723541592711</v>
      </c>
      <c r="E104" s="29" t="n">
        <f aca="false">IF(E102&gt;0,E103/E102,0)</f>
        <v>0.87577195893977</v>
      </c>
      <c r="F104" s="29" t="n">
        <f aca="false">IF(F102&gt;0,F103/F102,0)</f>
        <v>0.905014129984617</v>
      </c>
      <c r="G104" s="29" t="n">
        <f aca="false">IF(G102&gt;0,G103/G102,0)</f>
        <v>0.929934299491184</v>
      </c>
    </row>
    <row r="105" customFormat="false" ht="15" hidden="false" customHeight="false" outlineLevel="0" collapsed="false">
      <c r="C105" s="29" t="n">
        <v>7.6</v>
      </c>
      <c r="D105" s="29" t="n">
        <v>7.2</v>
      </c>
      <c r="E105" s="29" t="n">
        <v>4.2</v>
      </c>
      <c r="F105" s="29" t="n">
        <v>3.9</v>
      </c>
      <c r="G105" s="29" t="n">
        <v>3.5</v>
      </c>
    </row>
    <row r="106" customFormat="false" ht="15" hidden="false" customHeight="false" outlineLevel="0" collapsed="false">
      <c r="C106" s="29" t="n">
        <v>65500000</v>
      </c>
      <c r="D106" s="29" t="n">
        <v>119300000</v>
      </c>
      <c r="E106" s="29" t="n">
        <v>259647182</v>
      </c>
      <c r="F106" s="29" t="n">
        <v>538200000</v>
      </c>
      <c r="G106" s="29" t="n">
        <v>1390000000</v>
      </c>
    </row>
    <row r="110" customFormat="false" ht="15" hidden="false" customHeight="false" outlineLevel="0" collapsed="false">
      <c r="B110" s="29" t="s">
        <v>47</v>
      </c>
      <c r="C110" s="29" t="s">
        <v>48</v>
      </c>
      <c r="D110" s="29" t="s">
        <v>49</v>
      </c>
      <c r="E110" s="29" t="s">
        <v>50</v>
      </c>
      <c r="F110" s="29" t="s">
        <v>51</v>
      </c>
      <c r="G110" s="29" t="s">
        <v>52</v>
      </c>
    </row>
    <row r="111" customFormat="false" ht="15" hidden="false" customHeight="false" outlineLevel="0" collapsed="false">
      <c r="B111" s="29" t="s">
        <v>53</v>
      </c>
      <c r="C111" s="29" t="n">
        <f aca="false">INDEX($C$92:$G$92,1,$C$91)*7320.8/1000000</f>
        <v>73.208</v>
      </c>
      <c r="D111" s="29" t="n">
        <f aca="false">INDEX($C$92:$G$92,1,$C$91)*6620.8/1000000</f>
        <v>66.208</v>
      </c>
      <c r="E111" s="29" t="n">
        <f aca="false">INDEX($C$92:$G$92,1,$C$91)*6620.8/1000000</f>
        <v>66.208</v>
      </c>
      <c r="F111" s="29" t="n">
        <f aca="false">INDEX($C$92:$G$92,1,$C$91)*6620.8/1000000</f>
        <v>66.208</v>
      </c>
      <c r="G111" s="29" t="n">
        <f aca="false">INDEX($C$92:$G$92,1,$C$91)*6620.8/1000000</f>
        <v>66.208</v>
      </c>
    </row>
    <row r="112" customFormat="false" ht="15" hidden="false" customHeight="false" outlineLevel="0" collapsed="false">
      <c r="B112" s="29" t="s">
        <v>54</v>
      </c>
      <c r="C112" s="31" t="n">
        <f aca="false">(INDEX($C$94:$G$94,1,$C$91)+INDEX($C$95:$G$95,1,$C$91)/5+INDEX($C$96:$G$96,1,$C$91)+INDEX($C$97:$G$97,1,$C$91)+INDEX($C$98:$G$98,1,$C$91)+INDEX($C$99:$G$99,1,$C$91)+INDEX($C$100:$G$100,1,$C$91)/5)/1000000</f>
        <v>32.331327</v>
      </c>
      <c r="D112" s="31" t="n">
        <f aca="false">(INDEX($C$95:$G$95,1,$C$91)/5+INDEX($C$100:$G$100,1,$C$91)/5)/1000000</f>
        <v>2.41568</v>
      </c>
      <c r="E112" s="31" t="n">
        <f aca="false">(INDEX($C$95:$G$95,1,$C$91)/5+INDEX($C$100:$G$100,1,$C$91)/5)/1000000</f>
        <v>2.41568</v>
      </c>
      <c r="F112" s="31" t="n">
        <f aca="false">(INDEX($C$95:$G$95,1,$C$91)/5+INDEX($C$100:$G$100,1,$C$91)/5)/1000000</f>
        <v>2.41568</v>
      </c>
      <c r="G112" s="31" t="n">
        <f aca="false">(INDEX($C$95:$G$95,1,$C$91)/5+INDEX($C$100:$G$100,1,$C$91)/5)/1000000</f>
        <v>2.41568</v>
      </c>
    </row>
    <row r="113" customFormat="false" ht="15" hidden="false" customHeight="false" outlineLevel="0" collapsed="false">
      <c r="B113" s="29" t="s">
        <v>4</v>
      </c>
      <c r="C113" s="31" t="n">
        <f aca="false">C111-C112</f>
        <v>40.876673</v>
      </c>
      <c r="D113" s="31" t="n">
        <f aca="false">D111-D112</f>
        <v>63.79232</v>
      </c>
      <c r="E113" s="31" t="n">
        <f aca="false">E111-E112</f>
        <v>63.79232</v>
      </c>
      <c r="F113" s="31" t="n">
        <f aca="false">F111-F112</f>
        <v>63.79232</v>
      </c>
      <c r="G113" s="31" t="n">
        <f aca="false">G111-G112</f>
        <v>63.79232</v>
      </c>
    </row>
    <row r="114" customFormat="false" ht="15" hidden="false" customHeight="false" outlineLevel="0" collapsed="false">
      <c r="B114" s="29" t="s">
        <v>55</v>
      </c>
      <c r="C114" s="29" t="n">
        <f aca="false">C111</f>
        <v>73.208</v>
      </c>
      <c r="D114" s="29" t="n">
        <f aca="false">C114+D111</f>
        <v>139.416</v>
      </c>
      <c r="E114" s="29" t="n">
        <f aca="false">D114+E111</f>
        <v>205.624</v>
      </c>
      <c r="F114" s="29" t="n">
        <f aca="false">E114+F111</f>
        <v>271.832</v>
      </c>
      <c r="G114" s="29" t="n">
        <f aca="false">F114+G111</f>
        <v>338.04</v>
      </c>
    </row>
    <row r="115" customFormat="false" ht="15" hidden="false" customHeight="false" outlineLevel="0" collapsed="false">
      <c r="B115" s="29" t="s">
        <v>56</v>
      </c>
      <c r="C115" s="31" t="n">
        <f aca="false">C113</f>
        <v>40.876673</v>
      </c>
      <c r="D115" s="31" t="n">
        <f aca="false">C115+D113</f>
        <v>104.668993</v>
      </c>
      <c r="E115" s="31" t="n">
        <f aca="false">D115+E113</f>
        <v>168.461313</v>
      </c>
      <c r="F115" s="31" t="n">
        <f aca="false">E115+F113</f>
        <v>232.253633</v>
      </c>
      <c r="G115" s="31" t="n">
        <f aca="false">F115+G113</f>
        <v>296.045953</v>
      </c>
    </row>
    <row r="120" customFormat="false" ht="15" hidden="false" customHeight="false" outlineLevel="0" collapsed="false">
      <c r="C120" s="29" t="s">
        <v>57</v>
      </c>
      <c r="D120" s="29" t="s">
        <v>58</v>
      </c>
      <c r="E120" s="29" t="s">
        <v>59</v>
      </c>
      <c r="F120" s="29" t="s">
        <v>60</v>
      </c>
      <c r="G120" s="29" t="s">
        <v>61</v>
      </c>
      <c r="H120" s="29" t="s">
        <v>62</v>
      </c>
      <c r="I120" s="29" t="s">
        <v>63</v>
      </c>
    </row>
    <row r="121" customFormat="false" ht="15" hidden="false" customHeight="false" outlineLevel="0" collapsed="false">
      <c r="C121" s="30" t="n">
        <f aca="false">INDEX($C$94:$G$94,1,$C$91)/1000000</f>
        <v>17.899</v>
      </c>
      <c r="D121" s="30" t="n">
        <f aca="false">INDEX($C$95:$G$95,1,$C$91)/1000000</f>
        <v>10.844</v>
      </c>
      <c r="E121" s="30" t="n">
        <f aca="false">INDEX($C$96:$G$96,1,$C$91)/1000000</f>
        <v>1.5</v>
      </c>
      <c r="F121" s="30" t="n">
        <f aca="false">INDEX($C$97:$G$97,1,$C$91)/1000000</f>
        <v>1.965</v>
      </c>
      <c r="G121" s="30" t="n">
        <f aca="false">INDEX($C$98:$G$98,1,$C$91)/1000000</f>
        <v>7.851647</v>
      </c>
      <c r="H121" s="30" t="n">
        <f aca="false">INDEX($C$99:$G$99,1,$C$91)/1000000</f>
        <v>0.7</v>
      </c>
      <c r="I121" s="30" t="n">
        <f aca="false">INDEX($C$100:$G$100,1,$C$91)/1000000</f>
        <v>1.2344</v>
      </c>
    </row>
    <row r="125" customFormat="false" ht="15" hidden="false" customHeight="false" outlineLevel="0" collapsed="false">
      <c r="C125" s="29" t="s">
        <v>64</v>
      </c>
      <c r="D125" s="29" t="s">
        <v>65</v>
      </c>
      <c r="E125" s="29" t="s">
        <v>66</v>
      </c>
      <c r="F125" s="29" t="s">
        <v>67</v>
      </c>
      <c r="G125" s="29" t="s">
        <v>68</v>
      </c>
      <c r="H125" s="29" t="s">
        <v>69</v>
      </c>
      <c r="I125" s="29" t="s">
        <v>70</v>
      </c>
    </row>
    <row r="126" customFormat="false" ht="15" hidden="false" customHeight="false" outlineLevel="0" collapsed="false">
      <c r="C126" s="29" t="n">
        <f aca="false">INDEX($C$92:$G$92,1,$C$91)*27500/1000000</f>
        <v>275</v>
      </c>
      <c r="D126" s="29" t="n">
        <f aca="false">INDEX($C$92:$G$92,1,$C$91)*700/1000000</f>
        <v>7</v>
      </c>
      <c r="E126" s="29" t="n">
        <f aca="false">INDEX($C$92:$G$92,1,$C$91)*1500/1000000</f>
        <v>15</v>
      </c>
      <c r="F126" s="29" t="n">
        <f aca="false">INDEX($C$92:$G$92,1,$C$91)*450/1000000</f>
        <v>4.5</v>
      </c>
      <c r="G126" s="29" t="n">
        <f aca="false">INDEX($C$92:$G$92,1,$C$91)*150/1000000</f>
        <v>1.5</v>
      </c>
      <c r="H126" s="29" t="n">
        <f aca="false">INDEX($C$92:$G$92,1,$C$91)*3120/1000000</f>
        <v>31.2</v>
      </c>
      <c r="I126" s="29" t="n">
        <f aca="false">INDEX($C$92:$G$92,1,$C$91)*384/1000000</f>
        <v>3.84</v>
      </c>
    </row>
    <row r="130" customFormat="false" ht="15" hidden="false" customHeight="false" outlineLevel="0" collapsed="false">
      <c r="B130" s="29" t="s">
        <v>71</v>
      </c>
      <c r="C130" s="29" t="s">
        <v>32</v>
      </c>
      <c r="D130" s="29" t="s">
        <v>33</v>
      </c>
      <c r="E130" s="29" t="s">
        <v>34</v>
      </c>
      <c r="F130" s="29" t="s">
        <v>35</v>
      </c>
      <c r="G130" s="29" t="s">
        <v>36</v>
      </c>
    </row>
    <row r="131" customFormat="false" ht="15" hidden="false" customHeight="false" outlineLevel="0" collapsed="false">
      <c r="B131" s="29" t="s">
        <v>72</v>
      </c>
      <c r="C131" s="30" t="n">
        <f aca="false">C102/1000000</f>
        <v>101.412</v>
      </c>
      <c r="D131" s="30" t="n">
        <f aca="false">D102/1000000</f>
        <v>169.02</v>
      </c>
      <c r="E131" s="30" t="n">
        <f aca="false">E102/1000000</f>
        <v>338.04</v>
      </c>
      <c r="F131" s="30" t="n">
        <f aca="false">F102/1000000</f>
        <v>676.08</v>
      </c>
      <c r="G131" s="30" t="n">
        <f aca="false">G102/1000000</f>
        <v>1690.2</v>
      </c>
    </row>
    <row r="132" customFormat="false" ht="15" hidden="false" customHeight="false" outlineLevel="0" collapsed="false">
      <c r="B132" s="29" t="s">
        <v>73</v>
      </c>
      <c r="C132" s="30" t="n">
        <f aca="false">C101/1000000</f>
        <v>27.375747</v>
      </c>
      <c r="D132" s="30" t="n">
        <f aca="false">D101/1000000</f>
        <v>32.329547</v>
      </c>
      <c r="E132" s="30" t="n">
        <f aca="false">E101/1000000</f>
        <v>41.994047</v>
      </c>
      <c r="F132" s="30" t="n">
        <f aca="false">F101/1000000</f>
        <v>64.218047</v>
      </c>
      <c r="G132" s="30" t="n">
        <f aca="false">G101/1000000</f>
        <v>118.425047</v>
      </c>
    </row>
    <row r="133" customFormat="false" ht="15" hidden="false" customHeight="false" outlineLevel="0" collapsed="false">
      <c r="B133" s="29" t="s">
        <v>74</v>
      </c>
      <c r="C133" s="30" t="n">
        <f aca="false">C103/1000000</f>
        <v>74.036253</v>
      </c>
      <c r="D133" s="30" t="n">
        <f aca="false">D103/1000000</f>
        <v>136.690453</v>
      </c>
      <c r="E133" s="30" t="n">
        <f aca="false">E103/1000000</f>
        <v>296.045953</v>
      </c>
      <c r="F133" s="30" t="n">
        <f aca="false">F103/1000000</f>
        <v>611.861953</v>
      </c>
      <c r="G133" s="30" t="n">
        <f aca="false">G103/1000000</f>
        <v>1571.774953</v>
      </c>
    </row>
    <row r="135" customFormat="false" ht="15" hidden="false" customHeight="false" outlineLevel="0" collapsed="false">
      <c r="B135" s="29" t="s">
        <v>75</v>
      </c>
      <c r="C135" s="29" t="n">
        <v>5</v>
      </c>
      <c r="D135" s="29" t="n">
        <v>14</v>
      </c>
      <c r="E135" s="29" t="n">
        <v>28</v>
      </c>
      <c r="F135" s="29" t="n">
        <v>42</v>
      </c>
      <c r="G135" s="29" t="n">
        <v>62</v>
      </c>
    </row>
    <row r="140" customFormat="false" ht="15" hidden="false" customHeight="false" outlineLevel="0" collapsed="false">
      <c r="C140" s="29" t="s">
        <v>76</v>
      </c>
      <c r="D140" s="29" t="s">
        <v>77</v>
      </c>
      <c r="E140" s="29" t="s">
        <v>78</v>
      </c>
      <c r="F140" s="29" t="s">
        <v>60</v>
      </c>
      <c r="G140" s="29" t="s">
        <v>79</v>
      </c>
      <c r="H140" s="29" t="s">
        <v>80</v>
      </c>
      <c r="I140" s="29" t="s">
        <v>81</v>
      </c>
      <c r="J140" s="29" t="s">
        <v>82</v>
      </c>
      <c r="K140" s="29" t="s">
        <v>83</v>
      </c>
    </row>
    <row r="141" customFormat="false" ht="15" hidden="false" customHeight="false" outlineLevel="0" collapsed="false">
      <c r="C141" s="30" t="n">
        <f aca="false">INDEX('Operating Costs'!$B$5:$F$5,1,$C$91)/1000000</f>
        <v>3.744</v>
      </c>
      <c r="D141" s="30" t="n">
        <f aca="false">INDEX('Operating Costs'!$B$6:$F$6,1,$C$91)/1000000</f>
        <v>2.4</v>
      </c>
      <c r="E141" s="30" t="n">
        <f aca="false">INDEX('Operating Costs'!$B$7:$F$7,1,$C$91)/1000000</f>
        <v>0.45</v>
      </c>
      <c r="F141" s="30" t="n">
        <f aca="false">INDEX('Operating Costs'!$B$8:$F$8,1,$C$91)/1000000</f>
        <v>0.2</v>
      </c>
      <c r="G141" s="30" t="n">
        <f aca="false">INDEX('Operating Costs'!$B$9:$F$9,1,$C$91)/1000000</f>
        <v>1.2</v>
      </c>
      <c r="H141" s="30" t="n">
        <f aca="false">INDEX('Operating Costs'!$B$10:$F$10,1,$C$91)/1000000</f>
        <v>0.6</v>
      </c>
      <c r="I141" s="30" t="n">
        <f aca="false">INDEX('Operating Costs'!$B$11:$F$11,1,$C$91)/1000000</f>
        <v>1</v>
      </c>
      <c r="J141" s="30" t="n">
        <f aca="false">INDEX('Operating Costs'!$B$12:$F$12,1,$C$91)/1000000</f>
        <v>0.5</v>
      </c>
      <c r="K141" s="30" t="n">
        <f aca="false">INDEX('Operating Costs'!$B$13:$F$13,1,$C$91)/1000000</f>
        <v>0.75</v>
      </c>
    </row>
  </sheetData>
  <mergeCells count="25">
    <mergeCell ref="B2:O2"/>
    <mergeCell ref="B3:O3"/>
    <mergeCell ref="B5:C5"/>
    <mergeCell ref="F5:G5"/>
    <mergeCell ref="I5:J5"/>
    <mergeCell ref="L5:M5"/>
    <mergeCell ref="N5:O5"/>
    <mergeCell ref="B6:C6"/>
    <mergeCell ref="F6:G6"/>
    <mergeCell ref="I6:J6"/>
    <mergeCell ref="L6:M6"/>
    <mergeCell ref="N6:O6"/>
    <mergeCell ref="B8:D8"/>
    <mergeCell ref="B16:D16"/>
    <mergeCell ref="B22:D22"/>
    <mergeCell ref="B36:O36"/>
    <mergeCell ref="B37:D37"/>
    <mergeCell ref="B38:D38"/>
    <mergeCell ref="B39:D39"/>
    <mergeCell ref="B40:D40"/>
    <mergeCell ref="B41:D41"/>
    <mergeCell ref="B42:D42"/>
    <mergeCell ref="B43:D43"/>
    <mergeCell ref="B45:O45"/>
    <mergeCell ref="B62:O62"/>
  </mergeCells>
  <dataValidations count="1">
    <dataValidation allowBlank="false" errorStyle="stop" operator="between" prompt="Select scenario" promptTitle="Rollout" showDropDown="false" showErrorMessage="false" showInputMessage="false" sqref="N6" type="list">
      <formula1>$C$90:$G$90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32" t="s">
        <v>84</v>
      </c>
    </row>
    <row r="3" customFormat="false" ht="15" hidden="false" customHeight="false" outlineLevel="0" collapsed="false">
      <c r="A3" s="33" t="s">
        <v>85</v>
      </c>
      <c r="B3" s="33" t="s">
        <v>86</v>
      </c>
      <c r="C3" s="33" t="s">
        <v>87</v>
      </c>
      <c r="D3" s="33" t="s">
        <v>88</v>
      </c>
      <c r="E3" s="33" t="s">
        <v>89</v>
      </c>
    </row>
    <row r="4" customFormat="false" ht="15" hidden="false" customHeight="false" outlineLevel="0" collapsed="false">
      <c r="A4" s="34" t="s">
        <v>90</v>
      </c>
      <c r="B4" s="34" t="s">
        <v>91</v>
      </c>
      <c r="C4" s="34" t="s">
        <v>92</v>
      </c>
      <c r="D4" s="34" t="s">
        <v>93</v>
      </c>
      <c r="E4" s="35" t="n">
        <v>5500</v>
      </c>
    </row>
    <row r="5" customFormat="false" ht="15" hidden="false" customHeight="false" outlineLevel="0" collapsed="false">
      <c r="A5" s="34" t="s">
        <v>94</v>
      </c>
      <c r="B5" s="34" t="s">
        <v>95</v>
      </c>
      <c r="C5" s="34" t="s">
        <v>92</v>
      </c>
      <c r="D5" s="34" t="s">
        <v>96</v>
      </c>
      <c r="E5" s="35" t="n">
        <v>700</v>
      </c>
    </row>
    <row r="6" customFormat="false" ht="15" hidden="false" customHeight="false" outlineLevel="0" collapsed="false">
      <c r="A6" s="34" t="s">
        <v>66</v>
      </c>
      <c r="B6" s="34" t="s">
        <v>97</v>
      </c>
      <c r="C6" s="34" t="s">
        <v>92</v>
      </c>
      <c r="D6" s="34" t="s">
        <v>98</v>
      </c>
      <c r="E6" s="35" t="n">
        <v>300</v>
      </c>
    </row>
    <row r="7" customFormat="false" ht="15" hidden="false" customHeight="false" outlineLevel="0" collapsed="false">
      <c r="A7" s="34" t="s">
        <v>99</v>
      </c>
      <c r="B7" s="34" t="s">
        <v>100</v>
      </c>
      <c r="C7" s="34" t="s">
        <v>101</v>
      </c>
      <c r="D7" s="34" t="s">
        <v>102</v>
      </c>
      <c r="E7" s="35" t="n">
        <v>90</v>
      </c>
    </row>
    <row r="8" customFormat="false" ht="15" hidden="false" customHeight="false" outlineLevel="0" collapsed="false">
      <c r="A8" s="34" t="s">
        <v>103</v>
      </c>
      <c r="B8" s="34" t="s">
        <v>104</v>
      </c>
      <c r="C8" s="34" t="s">
        <v>105</v>
      </c>
      <c r="D8" s="34" t="s">
        <v>106</v>
      </c>
      <c r="E8" s="35" t="n">
        <v>30</v>
      </c>
    </row>
    <row r="9" customFormat="false" ht="15" hidden="false" customHeight="false" outlineLevel="0" collapsed="false">
      <c r="A9" s="34" t="s">
        <v>107</v>
      </c>
      <c r="B9" s="34" t="s">
        <v>108</v>
      </c>
      <c r="C9" s="34" t="s">
        <v>109</v>
      </c>
      <c r="D9" s="34" t="s">
        <v>110</v>
      </c>
      <c r="E9" s="35" t="n">
        <v>624</v>
      </c>
    </row>
    <row r="10" customFormat="false" ht="15" hidden="false" customHeight="false" outlineLevel="0" collapsed="false">
      <c r="A10" s="34" t="s">
        <v>111</v>
      </c>
      <c r="B10" s="34" t="s">
        <v>112</v>
      </c>
      <c r="C10" s="34" t="s">
        <v>113</v>
      </c>
      <c r="D10" s="34" t="s">
        <v>114</v>
      </c>
      <c r="E10" s="35" t="n">
        <v>76.8</v>
      </c>
    </row>
    <row r="11" customFormat="false" ht="15" hidden="false" customHeight="false" outlineLevel="0" collapsed="false">
      <c r="A11" s="36" t="s">
        <v>115</v>
      </c>
      <c r="B11" s="37"/>
      <c r="C11" s="37"/>
      <c r="D11" s="37"/>
      <c r="E11" s="38" t="n">
        <f aca="false">E4+E6+E7+E8+E9+E10</f>
        <v>6620.8</v>
      </c>
    </row>
    <row r="12" customFormat="false" ht="15" hidden="false" customHeight="false" outlineLevel="0" collapsed="false">
      <c r="A12" s="36" t="s">
        <v>116</v>
      </c>
      <c r="B12" s="37"/>
      <c r="C12" s="37"/>
      <c r="D12" s="37"/>
      <c r="E12" s="38" t="n">
        <f aca="false">E11+E5</f>
        <v>7320.8</v>
      </c>
    </row>
    <row r="14" customFormat="false" ht="17.35" hidden="false" customHeight="false" outlineLevel="0" collapsed="false">
      <c r="A14" s="32" t="s">
        <v>117</v>
      </c>
    </row>
    <row r="16" customFormat="false" ht="28.35" hidden="false" customHeight="false" outlineLevel="0" collapsed="false">
      <c r="A16" s="33" t="s">
        <v>47</v>
      </c>
      <c r="B16" s="33" t="s">
        <v>43</v>
      </c>
      <c r="C16" s="33" t="s">
        <v>44</v>
      </c>
      <c r="D16" s="33" t="s">
        <v>7</v>
      </c>
      <c r="E16" s="33" t="s">
        <v>45</v>
      </c>
      <c r="F16" s="33" t="s">
        <v>46</v>
      </c>
    </row>
    <row r="17" customFormat="false" ht="15" hidden="false" customHeight="false" outlineLevel="0" collapsed="false">
      <c r="A17" s="34" t="s">
        <v>49</v>
      </c>
      <c r="B17" s="39" t="n">
        <v>19862400</v>
      </c>
      <c r="C17" s="39" t="n">
        <v>33104000</v>
      </c>
      <c r="D17" s="39" t="n">
        <v>66208000</v>
      </c>
      <c r="E17" s="39" t="n">
        <v>132416000</v>
      </c>
      <c r="F17" s="39" t="n">
        <v>331040000</v>
      </c>
    </row>
    <row r="18" customFormat="false" ht="15" hidden="false" customHeight="false" outlineLevel="0" collapsed="false">
      <c r="A18" s="34" t="s">
        <v>50</v>
      </c>
      <c r="B18" s="39" t="n">
        <v>19862400</v>
      </c>
      <c r="C18" s="39" t="n">
        <v>33104000</v>
      </c>
      <c r="D18" s="39" t="n">
        <v>66208000</v>
      </c>
      <c r="E18" s="39" t="n">
        <v>132416000</v>
      </c>
      <c r="F18" s="39" t="n">
        <v>331040000</v>
      </c>
    </row>
    <row r="19" customFormat="false" ht="15" hidden="false" customHeight="false" outlineLevel="0" collapsed="false">
      <c r="A19" s="34" t="s">
        <v>51</v>
      </c>
      <c r="B19" s="39" t="n">
        <v>19862400</v>
      </c>
      <c r="C19" s="39" t="n">
        <v>33104000</v>
      </c>
      <c r="D19" s="39" t="n">
        <v>66208000</v>
      </c>
      <c r="E19" s="39" t="n">
        <v>132416000</v>
      </c>
      <c r="F19" s="39" t="n">
        <v>331040000</v>
      </c>
    </row>
    <row r="20" customFormat="false" ht="15" hidden="false" customHeight="false" outlineLevel="0" collapsed="false">
      <c r="A20" s="34" t="s">
        <v>52</v>
      </c>
      <c r="B20" s="39" t="n">
        <v>19862400</v>
      </c>
      <c r="C20" s="39" t="n">
        <v>33104000</v>
      </c>
      <c r="D20" s="39" t="n">
        <v>66208000</v>
      </c>
      <c r="E20" s="39" t="n">
        <v>132416000</v>
      </c>
      <c r="F20" s="39" t="n">
        <v>331040000</v>
      </c>
    </row>
    <row r="22" customFormat="false" ht="15" hidden="false" customHeight="false" outlineLevel="0" collapsed="false">
      <c r="A22" s="40" t="s">
        <v>118</v>
      </c>
      <c r="B22" s="41" t="n">
        <f aca="false">SUM(B17:B21)</f>
        <v>79449600</v>
      </c>
      <c r="C22" s="41" t="n">
        <f aca="false">SUM(C17:C21)</f>
        <v>132416000</v>
      </c>
      <c r="D22" s="41" t="n">
        <f aca="false">SUM(D17:D21)</f>
        <v>264832000</v>
      </c>
      <c r="E22" s="41" t="n">
        <f aca="false">SUM(E17:E21)</f>
        <v>529664000</v>
      </c>
      <c r="F22" s="41" t="n">
        <f aca="false">SUM(F17:F21)</f>
        <v>1324160000</v>
      </c>
    </row>
    <row r="24" customFormat="false" ht="17.35" hidden="false" customHeight="false" outlineLevel="0" collapsed="false">
      <c r="A24" s="32" t="s">
        <v>119</v>
      </c>
    </row>
    <row r="26" customFormat="false" ht="28.35" hidden="false" customHeight="false" outlineLevel="0" collapsed="false">
      <c r="A26" s="33" t="s">
        <v>85</v>
      </c>
      <c r="B26" s="33" t="s">
        <v>43</v>
      </c>
      <c r="C26" s="33" t="s">
        <v>44</v>
      </c>
      <c r="D26" s="33" t="s">
        <v>7</v>
      </c>
      <c r="E26" s="33" t="s">
        <v>45</v>
      </c>
      <c r="F26" s="33" t="s">
        <v>46</v>
      </c>
    </row>
    <row r="27" customFormat="false" ht="15" hidden="false" customHeight="false" outlineLevel="0" collapsed="false">
      <c r="A27" s="34" t="s">
        <v>120</v>
      </c>
      <c r="B27" s="39" t="n">
        <v>82500000</v>
      </c>
      <c r="C27" s="39" t="n">
        <v>137500000</v>
      </c>
      <c r="D27" s="39" t="n">
        <v>275000000</v>
      </c>
      <c r="E27" s="39" t="n">
        <v>550000000</v>
      </c>
      <c r="F27" s="39" t="n">
        <v>1375000000</v>
      </c>
    </row>
    <row r="28" customFormat="false" ht="15" hidden="false" customHeight="false" outlineLevel="0" collapsed="false">
      <c r="A28" s="34" t="s">
        <v>121</v>
      </c>
      <c r="B28" s="39" t="n">
        <v>2100000</v>
      </c>
      <c r="C28" s="39" t="n">
        <v>3500000</v>
      </c>
      <c r="D28" s="39" t="n">
        <v>7000000</v>
      </c>
      <c r="E28" s="39" t="n">
        <v>14000000</v>
      </c>
      <c r="F28" s="39" t="n">
        <v>35000000</v>
      </c>
    </row>
    <row r="29" customFormat="false" ht="15" hidden="false" customHeight="false" outlineLevel="0" collapsed="false">
      <c r="A29" s="34" t="s">
        <v>122</v>
      </c>
      <c r="B29" s="39" t="n">
        <v>4500000</v>
      </c>
      <c r="C29" s="39" t="n">
        <v>7500000</v>
      </c>
      <c r="D29" s="39" t="n">
        <v>15000000</v>
      </c>
      <c r="E29" s="39" t="n">
        <v>30000000</v>
      </c>
      <c r="F29" s="39" t="n">
        <v>75000000</v>
      </c>
    </row>
    <row r="30" customFormat="false" ht="15" hidden="false" customHeight="false" outlineLevel="0" collapsed="false">
      <c r="A30" s="34" t="s">
        <v>123</v>
      </c>
      <c r="B30" s="39" t="n">
        <v>1350000</v>
      </c>
      <c r="C30" s="39" t="n">
        <v>2250000</v>
      </c>
      <c r="D30" s="39" t="n">
        <v>4500000</v>
      </c>
      <c r="E30" s="39" t="n">
        <v>9000000</v>
      </c>
      <c r="F30" s="39" t="n">
        <v>22500000</v>
      </c>
    </row>
    <row r="31" customFormat="false" ht="15" hidden="false" customHeight="false" outlineLevel="0" collapsed="false">
      <c r="A31" s="34" t="s">
        <v>124</v>
      </c>
      <c r="B31" s="39" t="n">
        <v>450000</v>
      </c>
      <c r="C31" s="39" t="n">
        <v>750000</v>
      </c>
      <c r="D31" s="39" t="n">
        <v>1500000</v>
      </c>
      <c r="E31" s="39" t="n">
        <v>3000000</v>
      </c>
      <c r="F31" s="39" t="n">
        <v>7500000</v>
      </c>
    </row>
    <row r="32" customFormat="false" ht="15" hidden="false" customHeight="false" outlineLevel="0" collapsed="false">
      <c r="A32" s="34" t="s">
        <v>125</v>
      </c>
      <c r="B32" s="39" t="n">
        <v>9360000</v>
      </c>
      <c r="C32" s="39" t="n">
        <v>15600000</v>
      </c>
      <c r="D32" s="39" t="n">
        <v>31200000</v>
      </c>
      <c r="E32" s="39" t="n">
        <v>62400000</v>
      </c>
      <c r="F32" s="39" t="n">
        <v>156000000</v>
      </c>
    </row>
    <row r="33" customFormat="false" ht="15" hidden="false" customHeight="false" outlineLevel="0" collapsed="false">
      <c r="A33" s="34" t="s">
        <v>126</v>
      </c>
      <c r="B33" s="39" t="n">
        <v>1152000</v>
      </c>
      <c r="C33" s="39" t="n">
        <v>1920000</v>
      </c>
      <c r="D33" s="39" t="n">
        <v>3840000</v>
      </c>
      <c r="E33" s="39" t="n">
        <v>7680000</v>
      </c>
      <c r="F33" s="39" t="n">
        <v>19200000</v>
      </c>
    </row>
    <row r="34" customFormat="false" ht="15" hidden="false" customHeight="false" outlineLevel="0" collapsed="false">
      <c r="A34" s="40" t="s">
        <v>127</v>
      </c>
      <c r="B34" s="41" t="n">
        <f aca="false">SUM(B27:B33)</f>
        <v>101412000</v>
      </c>
      <c r="C34" s="41" t="n">
        <f aca="false">SUM(C27:C33)</f>
        <v>169020000</v>
      </c>
      <c r="D34" s="41" t="n">
        <f aca="false">SUM(D27:D33)</f>
        <v>338040000</v>
      </c>
      <c r="E34" s="41" t="n">
        <f aca="false">SUM(E27:E33)</f>
        <v>676080000</v>
      </c>
      <c r="F34" s="41" t="n">
        <f aca="false">SUM(F27:F33)</f>
        <v>1690200000</v>
      </c>
    </row>
    <row r="36" customFormat="false" ht="17.35" hidden="false" customHeight="false" outlineLevel="0" collapsed="false">
      <c r="A36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129</v>
      </c>
    </row>
    <row r="3" customFormat="false" ht="15" hidden="false" customHeight="false" outlineLevel="0" collapsed="false">
      <c r="A3" s="42" t="s">
        <v>130</v>
      </c>
      <c r="B3" s="43"/>
      <c r="C3" s="43"/>
      <c r="D3" s="43"/>
      <c r="E3" s="43"/>
    </row>
    <row r="5" customFormat="false" ht="15" hidden="false" customHeight="false" outlineLevel="0" collapsed="false">
      <c r="A5" s="33" t="s">
        <v>131</v>
      </c>
      <c r="B5" s="33" t="s">
        <v>132</v>
      </c>
      <c r="C5" s="33" t="s">
        <v>133</v>
      </c>
      <c r="D5" s="33" t="s">
        <v>134</v>
      </c>
    </row>
    <row r="6" customFormat="false" ht="15" hidden="false" customHeight="false" outlineLevel="0" collapsed="false">
      <c r="A6" s="34" t="s">
        <v>135</v>
      </c>
      <c r="B6" s="34" t="s">
        <v>136</v>
      </c>
      <c r="C6" s="39" t="n">
        <v>2000</v>
      </c>
      <c r="D6" s="34" t="s">
        <v>137</v>
      </c>
    </row>
    <row r="7" customFormat="false" ht="15" hidden="false" customHeight="false" outlineLevel="0" collapsed="false">
      <c r="A7" s="34" t="s">
        <v>138</v>
      </c>
      <c r="B7" s="34" t="s">
        <v>139</v>
      </c>
      <c r="C7" s="39" t="n">
        <v>1700</v>
      </c>
      <c r="D7" s="34" t="s">
        <v>140</v>
      </c>
    </row>
    <row r="8" customFormat="false" ht="15" hidden="false" customHeight="false" outlineLevel="0" collapsed="false">
      <c r="A8" s="34" t="s">
        <v>141</v>
      </c>
      <c r="B8" s="34" t="s">
        <v>101</v>
      </c>
      <c r="C8" s="39" t="n">
        <v>1400</v>
      </c>
      <c r="D8" s="34" t="s">
        <v>142</v>
      </c>
    </row>
    <row r="9" customFormat="false" ht="15" hidden="false" customHeight="false" outlineLevel="0" collapsed="false">
      <c r="A9" s="34" t="s">
        <v>143</v>
      </c>
      <c r="B9" s="34" t="s">
        <v>144</v>
      </c>
      <c r="C9" s="39" t="n">
        <v>1462</v>
      </c>
      <c r="D9" s="34" t="s">
        <v>145</v>
      </c>
    </row>
    <row r="11" customFormat="false" ht="15" hidden="false" customHeight="false" outlineLevel="0" collapsed="false">
      <c r="A11" s="44" t="s">
        <v>146</v>
      </c>
      <c r="B11" s="45"/>
      <c r="C11" s="45"/>
      <c r="D11" s="45"/>
      <c r="E11" s="45"/>
      <c r="F11" s="45"/>
    </row>
    <row r="13" customFormat="false" ht="15" hidden="false" customHeight="false" outlineLevel="0" collapsed="false">
      <c r="A13" s="33" t="s">
        <v>147</v>
      </c>
      <c r="B13" s="33" t="s">
        <v>43</v>
      </c>
      <c r="C13" s="33" t="s">
        <v>44</v>
      </c>
      <c r="D13" s="33" t="s">
        <v>7</v>
      </c>
      <c r="E13" s="33" t="s">
        <v>45</v>
      </c>
      <c r="F13" s="33" t="s">
        <v>46</v>
      </c>
    </row>
    <row r="14" customFormat="false" ht="15" hidden="false" customHeight="false" outlineLevel="0" collapsed="false">
      <c r="A14" s="34" t="s">
        <v>148</v>
      </c>
      <c r="B14" s="39" t="n">
        <v>6000000</v>
      </c>
      <c r="C14" s="39" t="n">
        <v>10000000</v>
      </c>
      <c r="D14" s="39" t="n">
        <v>17000000</v>
      </c>
      <c r="E14" s="39" t="n">
        <v>34000000</v>
      </c>
      <c r="F14" s="39" t="n">
        <v>73100000</v>
      </c>
    </row>
    <row r="15" customFormat="false" ht="15" hidden="false" customHeight="false" outlineLevel="0" collapsed="false">
      <c r="A15" s="34" t="s">
        <v>149</v>
      </c>
      <c r="B15" s="39" t="n">
        <v>269700</v>
      </c>
      <c r="C15" s="39" t="n">
        <v>449500</v>
      </c>
      <c r="D15" s="39" t="n">
        <v>899000</v>
      </c>
      <c r="E15" s="39" t="n">
        <v>1798000</v>
      </c>
      <c r="F15" s="39" t="n">
        <v>4495000</v>
      </c>
    </row>
    <row r="16" customFormat="false" ht="15" hidden="false" customHeight="false" outlineLevel="0" collapsed="false">
      <c r="A16" s="40" t="s">
        <v>150</v>
      </c>
      <c r="B16" s="41" t="n">
        <f aca="false">SUM(B14:B15)</f>
        <v>6269700</v>
      </c>
      <c r="C16" s="41" t="n">
        <f aca="false">SUM(C14:C15)</f>
        <v>10449500</v>
      </c>
      <c r="D16" s="41" t="n">
        <f aca="false">SUM(D14:D15)</f>
        <v>17899000</v>
      </c>
      <c r="E16" s="41" t="n">
        <f aca="false">SUM(E14:E15)</f>
        <v>35798000</v>
      </c>
      <c r="F16" s="41" t="n">
        <f aca="false">SUM(F14:F15)</f>
        <v>77595000</v>
      </c>
    </row>
    <row r="18" customFormat="false" ht="15" hidden="false" customHeight="false" outlineLevel="0" collapsed="false">
      <c r="A18" s="42" t="s">
        <v>151</v>
      </c>
      <c r="B18" s="43"/>
      <c r="C18" s="43"/>
      <c r="D18" s="43"/>
      <c r="E18" s="43"/>
      <c r="F18" s="43"/>
    </row>
    <row r="19" customFormat="false" ht="15" hidden="false" customHeight="false" outlineLevel="0" collapsed="false">
      <c r="A19" s="33" t="s">
        <v>31</v>
      </c>
      <c r="B19" s="33" t="s">
        <v>43</v>
      </c>
      <c r="C19" s="33" t="s">
        <v>44</v>
      </c>
      <c r="D19" s="33" t="s">
        <v>7</v>
      </c>
      <c r="E19" s="33" t="s">
        <v>45</v>
      </c>
      <c r="F19" s="33" t="s">
        <v>46</v>
      </c>
    </row>
    <row r="20" customFormat="false" ht="15" hidden="false" customHeight="false" outlineLevel="0" collapsed="false">
      <c r="A20" s="34" t="s">
        <v>152</v>
      </c>
      <c r="B20" s="46" t="n">
        <v>3000</v>
      </c>
      <c r="C20" s="46" t="n">
        <v>5000</v>
      </c>
      <c r="D20" s="46" t="n">
        <v>10000</v>
      </c>
      <c r="E20" s="46" t="n">
        <v>20000</v>
      </c>
      <c r="F20" s="46" t="n">
        <v>50000</v>
      </c>
    </row>
    <row r="21" customFormat="false" ht="15" hidden="false" customHeight="false" outlineLevel="0" collapsed="false">
      <c r="A21" s="34" t="s">
        <v>153</v>
      </c>
      <c r="B21" s="39" t="n">
        <v>2000</v>
      </c>
      <c r="C21" s="39" t="n">
        <v>2000</v>
      </c>
      <c r="D21" s="39" t="n">
        <v>1700</v>
      </c>
      <c r="E21" s="39" t="n">
        <v>1700</v>
      </c>
      <c r="F21" s="39" t="n">
        <v>1462</v>
      </c>
    </row>
    <row r="22" customFormat="false" ht="15" hidden="false" customHeight="false" outlineLevel="0" collapsed="false">
      <c r="A22" s="34" t="s">
        <v>154</v>
      </c>
      <c r="B22" s="34" t="s">
        <v>136</v>
      </c>
      <c r="C22" s="34" t="s">
        <v>136</v>
      </c>
      <c r="D22" s="34" t="s">
        <v>139</v>
      </c>
      <c r="E22" s="34" t="s">
        <v>139</v>
      </c>
      <c r="F22" s="34" t="s">
        <v>155</v>
      </c>
    </row>
    <row r="24" customFormat="false" ht="17.35" hidden="false" customHeight="false" outlineLevel="0" collapsed="false">
      <c r="A24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8" min="8" style="0" width="30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32" t="s">
        <v>156</v>
      </c>
    </row>
    <row r="2" customFormat="false" ht="15" hidden="false" customHeight="false" outlineLevel="0" collapsed="false">
      <c r="A2" s="47" t="s">
        <v>157</v>
      </c>
    </row>
    <row r="4" customFormat="false" ht="15" hidden="false" customHeight="false" outlineLevel="0" collapsed="false">
      <c r="A4" s="33" t="s">
        <v>158</v>
      </c>
      <c r="B4" s="33" t="s">
        <v>43</v>
      </c>
      <c r="C4" s="33" t="s">
        <v>44</v>
      </c>
      <c r="D4" s="33" t="s">
        <v>7</v>
      </c>
      <c r="E4" s="33" t="s">
        <v>45</v>
      </c>
      <c r="F4" s="33" t="s">
        <v>46</v>
      </c>
      <c r="H4" s="33" t="s">
        <v>158</v>
      </c>
      <c r="I4" s="33" t="s">
        <v>159</v>
      </c>
      <c r="J4" s="33" t="s">
        <v>160</v>
      </c>
    </row>
    <row r="5" customFormat="false" ht="15" hidden="false" customHeight="false" outlineLevel="0" collapsed="false">
      <c r="A5" s="48" t="s">
        <v>161</v>
      </c>
      <c r="B5" s="43"/>
      <c r="C5" s="43"/>
      <c r="D5" s="43"/>
      <c r="E5" s="43"/>
      <c r="F5" s="43"/>
    </row>
    <row r="6" customFormat="false" ht="15" hidden="false" customHeight="false" outlineLevel="0" collapsed="false">
      <c r="A6" s="34" t="s">
        <v>162</v>
      </c>
      <c r="B6" s="46" t="n">
        <v>1</v>
      </c>
      <c r="C6" s="46" t="n">
        <v>1</v>
      </c>
      <c r="D6" s="46" t="n">
        <v>1</v>
      </c>
      <c r="E6" s="46" t="n">
        <v>1</v>
      </c>
      <c r="F6" s="46" t="n">
        <v>1</v>
      </c>
      <c r="H6" s="34" t="s">
        <v>162</v>
      </c>
      <c r="I6" s="39" t="n">
        <v>35000</v>
      </c>
      <c r="J6" s="49" t="n">
        <f aca="false">I6*12</f>
        <v>420000</v>
      </c>
    </row>
    <row r="7" customFormat="false" ht="15" hidden="false" customHeight="false" outlineLevel="0" collapsed="false">
      <c r="A7" s="34" t="s">
        <v>163</v>
      </c>
      <c r="B7" s="46" t="n">
        <v>0</v>
      </c>
      <c r="C7" s="46" t="n">
        <v>0</v>
      </c>
      <c r="D7" s="46" t="n">
        <v>1</v>
      </c>
      <c r="E7" s="46" t="n">
        <v>1</v>
      </c>
      <c r="F7" s="46" t="n">
        <v>1</v>
      </c>
      <c r="H7" s="34" t="s">
        <v>163</v>
      </c>
      <c r="I7" s="39" t="n">
        <v>28000</v>
      </c>
      <c r="J7" s="49" t="n">
        <f aca="false">I7*12</f>
        <v>336000</v>
      </c>
    </row>
    <row r="8" customFormat="false" ht="15" hidden="false" customHeight="false" outlineLevel="0" collapsed="false">
      <c r="A8" s="34" t="s">
        <v>164</v>
      </c>
      <c r="B8" s="46" t="n">
        <v>0</v>
      </c>
      <c r="C8" s="46" t="n">
        <v>1</v>
      </c>
      <c r="D8" s="46" t="n">
        <v>1</v>
      </c>
      <c r="E8" s="46" t="n">
        <v>1</v>
      </c>
      <c r="F8" s="46" t="n">
        <v>1</v>
      </c>
      <c r="H8" s="34" t="s">
        <v>164</v>
      </c>
      <c r="I8" s="39" t="n">
        <v>28000</v>
      </c>
      <c r="J8" s="49" t="n">
        <f aca="false">I8*12</f>
        <v>336000</v>
      </c>
    </row>
    <row r="9" customFormat="false" ht="15" hidden="false" customHeight="false" outlineLevel="0" collapsed="false">
      <c r="A9" s="34" t="s">
        <v>165</v>
      </c>
      <c r="B9" s="46" t="n">
        <v>0</v>
      </c>
      <c r="C9" s="46" t="n">
        <v>1</v>
      </c>
      <c r="D9" s="46" t="n">
        <v>1</v>
      </c>
      <c r="E9" s="46" t="n">
        <v>1</v>
      </c>
      <c r="F9" s="46" t="n">
        <v>1</v>
      </c>
      <c r="H9" s="34" t="s">
        <v>165</v>
      </c>
      <c r="I9" s="39" t="n">
        <v>30000</v>
      </c>
      <c r="J9" s="49" t="n">
        <f aca="false">I9*12</f>
        <v>360000</v>
      </c>
    </row>
    <row r="10" customFormat="false" ht="15" hidden="false" customHeight="false" outlineLevel="0" collapsed="false">
      <c r="A10" s="34" t="s">
        <v>166</v>
      </c>
      <c r="B10" s="46" t="n">
        <v>0</v>
      </c>
      <c r="C10" s="46" t="n">
        <v>0</v>
      </c>
      <c r="D10" s="46" t="n">
        <v>1</v>
      </c>
      <c r="E10" s="46" t="n">
        <v>1</v>
      </c>
      <c r="F10" s="46" t="n">
        <v>1</v>
      </c>
      <c r="H10" s="34" t="s">
        <v>166</v>
      </c>
      <c r="I10" s="39" t="n">
        <v>25000</v>
      </c>
      <c r="J10" s="49" t="n">
        <f aca="false">I10*12</f>
        <v>300000</v>
      </c>
    </row>
    <row r="11" customFormat="false" ht="15" hidden="false" customHeight="false" outlineLevel="0" collapsed="false">
      <c r="A11" s="34" t="s">
        <v>167</v>
      </c>
      <c r="B11" s="46" t="n">
        <v>0</v>
      </c>
      <c r="C11" s="46" t="n">
        <v>0</v>
      </c>
      <c r="D11" s="46" t="n">
        <v>0</v>
      </c>
      <c r="E11" s="46" t="n">
        <v>1</v>
      </c>
      <c r="F11" s="46" t="n">
        <v>1</v>
      </c>
      <c r="H11" s="34" t="s">
        <v>167</v>
      </c>
      <c r="I11" s="39" t="n">
        <v>22000</v>
      </c>
      <c r="J11" s="49" t="n">
        <f aca="false">I11*12</f>
        <v>264000</v>
      </c>
    </row>
    <row r="12" customFormat="false" ht="15" hidden="false" customHeight="false" outlineLevel="0" collapsed="false">
      <c r="A12" s="34" t="s">
        <v>168</v>
      </c>
      <c r="B12" s="46" t="n">
        <v>0</v>
      </c>
      <c r="C12" s="46" t="n">
        <v>0</v>
      </c>
      <c r="D12" s="46" t="n">
        <v>0</v>
      </c>
      <c r="E12" s="46" t="n">
        <v>1</v>
      </c>
      <c r="F12" s="46" t="n">
        <v>1</v>
      </c>
      <c r="H12" s="34" t="s">
        <v>168</v>
      </c>
      <c r="I12" s="39" t="n">
        <v>22000</v>
      </c>
      <c r="J12" s="49" t="n">
        <f aca="false">I12*12</f>
        <v>264000</v>
      </c>
    </row>
    <row r="13" customFormat="false" ht="15" hidden="false" customHeight="false" outlineLevel="0" collapsed="false">
      <c r="A13" s="48" t="s">
        <v>169</v>
      </c>
      <c r="B13" s="43"/>
      <c r="C13" s="43"/>
      <c r="D13" s="43"/>
      <c r="E13" s="43"/>
      <c r="F13" s="43"/>
    </row>
    <row r="14" customFormat="false" ht="15" hidden="false" customHeight="false" outlineLevel="0" collapsed="false">
      <c r="A14" s="34" t="s">
        <v>170</v>
      </c>
      <c r="B14" s="46" t="n">
        <v>0</v>
      </c>
      <c r="C14" s="46" t="n">
        <v>1</v>
      </c>
      <c r="D14" s="46" t="n">
        <v>1</v>
      </c>
      <c r="E14" s="46" t="n">
        <v>1</v>
      </c>
      <c r="F14" s="46" t="n">
        <v>1</v>
      </c>
      <c r="H14" s="34" t="s">
        <v>170</v>
      </c>
      <c r="I14" s="39" t="n">
        <v>20000</v>
      </c>
      <c r="J14" s="49" t="n">
        <f aca="false">I14*12</f>
        <v>240000</v>
      </c>
    </row>
    <row r="15" customFormat="false" ht="15" hidden="false" customHeight="false" outlineLevel="0" collapsed="false">
      <c r="A15" s="34" t="s">
        <v>171</v>
      </c>
      <c r="B15" s="46" t="n">
        <v>2</v>
      </c>
      <c r="C15" s="46" t="n">
        <v>3</v>
      </c>
      <c r="D15" s="46" t="n">
        <v>4</v>
      </c>
      <c r="E15" s="46" t="n">
        <v>5</v>
      </c>
      <c r="F15" s="46" t="n">
        <v>8</v>
      </c>
      <c r="H15" s="34" t="s">
        <v>171</v>
      </c>
      <c r="I15" s="39" t="n">
        <v>9000</v>
      </c>
      <c r="J15" s="49" t="n">
        <f aca="false">I15*12</f>
        <v>108000</v>
      </c>
    </row>
    <row r="16" customFormat="false" ht="15" hidden="false" customHeight="false" outlineLevel="0" collapsed="false">
      <c r="A16" s="34" t="s">
        <v>172</v>
      </c>
      <c r="B16" s="46" t="n">
        <v>0</v>
      </c>
      <c r="C16" s="46" t="n">
        <v>1</v>
      </c>
      <c r="D16" s="46" t="n">
        <v>1</v>
      </c>
      <c r="E16" s="46" t="n">
        <v>2</v>
      </c>
      <c r="F16" s="46" t="n">
        <v>3</v>
      </c>
      <c r="H16" s="34" t="s">
        <v>172</v>
      </c>
      <c r="I16" s="39" t="n">
        <v>11000</v>
      </c>
      <c r="J16" s="49" t="n">
        <f aca="false">I16*12</f>
        <v>132000</v>
      </c>
    </row>
    <row r="17" customFormat="false" ht="15" hidden="false" customHeight="false" outlineLevel="0" collapsed="false">
      <c r="A17" s="34" t="s">
        <v>173</v>
      </c>
      <c r="B17" s="46" t="n">
        <v>0</v>
      </c>
      <c r="C17" s="46" t="n">
        <v>0</v>
      </c>
      <c r="D17" s="46" t="n">
        <v>1</v>
      </c>
      <c r="E17" s="46" t="n">
        <v>1</v>
      </c>
      <c r="F17" s="46" t="n">
        <v>2</v>
      </c>
      <c r="H17" s="34" t="s">
        <v>173</v>
      </c>
      <c r="I17" s="39" t="n">
        <v>8000</v>
      </c>
      <c r="J17" s="49" t="n">
        <f aca="false">I17*12</f>
        <v>96000</v>
      </c>
    </row>
    <row r="18" customFormat="false" ht="15" hidden="false" customHeight="false" outlineLevel="0" collapsed="false">
      <c r="A18" s="48" t="s">
        <v>174</v>
      </c>
      <c r="B18" s="43"/>
      <c r="C18" s="43"/>
      <c r="D18" s="43"/>
      <c r="E18" s="43"/>
      <c r="F18" s="43"/>
    </row>
    <row r="19" customFormat="false" ht="15" hidden="false" customHeight="false" outlineLevel="0" collapsed="false">
      <c r="A19" s="34" t="s">
        <v>175</v>
      </c>
      <c r="B19" s="46" t="n">
        <v>0</v>
      </c>
      <c r="C19" s="46" t="n">
        <v>0</v>
      </c>
      <c r="D19" s="46" t="n">
        <v>1</v>
      </c>
      <c r="E19" s="46" t="n">
        <v>1</v>
      </c>
      <c r="F19" s="46" t="n">
        <v>1</v>
      </c>
      <c r="H19" s="34" t="s">
        <v>175</v>
      </c>
      <c r="I19" s="39" t="n">
        <v>22000</v>
      </c>
      <c r="J19" s="49" t="n">
        <f aca="false">I19*12</f>
        <v>264000</v>
      </c>
    </row>
    <row r="20" customFormat="false" ht="15" hidden="false" customHeight="false" outlineLevel="0" collapsed="false">
      <c r="A20" s="34" t="s">
        <v>176</v>
      </c>
      <c r="B20" s="46" t="n">
        <v>1</v>
      </c>
      <c r="C20" s="46" t="n">
        <v>1</v>
      </c>
      <c r="D20" s="46" t="n">
        <v>1</v>
      </c>
      <c r="E20" s="46" t="n">
        <v>3</v>
      </c>
      <c r="F20" s="46" t="n">
        <v>5</v>
      </c>
      <c r="H20" s="34" t="s">
        <v>176</v>
      </c>
      <c r="I20" s="39" t="n">
        <v>12000</v>
      </c>
      <c r="J20" s="49" t="n">
        <f aca="false">I20*12</f>
        <v>144000</v>
      </c>
    </row>
    <row r="21" customFormat="false" ht="15" hidden="false" customHeight="false" outlineLevel="0" collapsed="false">
      <c r="A21" s="34" t="s">
        <v>177</v>
      </c>
      <c r="B21" s="46" t="n">
        <v>0</v>
      </c>
      <c r="C21" s="46" t="n">
        <v>1</v>
      </c>
      <c r="D21" s="46" t="n">
        <v>2</v>
      </c>
      <c r="E21" s="46" t="n">
        <v>3</v>
      </c>
      <c r="F21" s="46" t="n">
        <v>5</v>
      </c>
      <c r="H21" s="34" t="s">
        <v>177</v>
      </c>
      <c r="I21" s="39" t="n">
        <v>15000</v>
      </c>
      <c r="J21" s="49" t="n">
        <f aca="false">I21*12</f>
        <v>180000</v>
      </c>
    </row>
    <row r="22" customFormat="false" ht="15" hidden="false" customHeight="false" outlineLevel="0" collapsed="false">
      <c r="A22" s="34" t="s">
        <v>178</v>
      </c>
      <c r="B22" s="46" t="n">
        <v>0</v>
      </c>
      <c r="C22" s="46" t="n">
        <v>0</v>
      </c>
      <c r="D22" s="46" t="n">
        <v>1</v>
      </c>
      <c r="E22" s="46" t="n">
        <v>2</v>
      </c>
      <c r="F22" s="46" t="n">
        <v>3</v>
      </c>
      <c r="H22" s="34" t="s">
        <v>178</v>
      </c>
      <c r="I22" s="39" t="n">
        <v>15000</v>
      </c>
      <c r="J22" s="49" t="n">
        <f aca="false">I22*12</f>
        <v>180000</v>
      </c>
    </row>
    <row r="23" customFormat="false" ht="15" hidden="false" customHeight="false" outlineLevel="0" collapsed="false">
      <c r="A23" s="48" t="s">
        <v>179</v>
      </c>
      <c r="B23" s="43"/>
      <c r="C23" s="43"/>
      <c r="D23" s="43"/>
      <c r="E23" s="43"/>
      <c r="F23" s="43"/>
    </row>
    <row r="24" customFormat="false" ht="15" hidden="false" customHeight="false" outlineLevel="0" collapsed="false">
      <c r="A24" s="34" t="s">
        <v>180</v>
      </c>
      <c r="B24" s="46" t="n">
        <v>0</v>
      </c>
      <c r="C24" s="46" t="n">
        <v>0</v>
      </c>
      <c r="D24" s="46" t="n">
        <v>1</v>
      </c>
      <c r="E24" s="46" t="n">
        <v>1</v>
      </c>
      <c r="F24" s="46" t="n">
        <v>1</v>
      </c>
      <c r="H24" s="34" t="s">
        <v>180</v>
      </c>
      <c r="I24" s="39" t="n">
        <v>18000</v>
      </c>
      <c r="J24" s="49" t="n">
        <f aca="false">I24*12</f>
        <v>216000</v>
      </c>
    </row>
    <row r="25" customFormat="false" ht="15" hidden="false" customHeight="false" outlineLevel="0" collapsed="false">
      <c r="A25" s="34" t="s">
        <v>181</v>
      </c>
      <c r="B25" s="46" t="n">
        <v>1</v>
      </c>
      <c r="C25" s="46" t="n">
        <v>2</v>
      </c>
      <c r="D25" s="46" t="n">
        <v>2</v>
      </c>
      <c r="E25" s="46" t="n">
        <v>4</v>
      </c>
      <c r="F25" s="46" t="n">
        <v>8</v>
      </c>
      <c r="H25" s="34" t="s">
        <v>181</v>
      </c>
      <c r="I25" s="39" t="n">
        <v>7200</v>
      </c>
      <c r="J25" s="49" t="n">
        <f aca="false">I25*12</f>
        <v>86400</v>
      </c>
    </row>
    <row r="26" customFormat="false" ht="15" hidden="false" customHeight="false" outlineLevel="0" collapsed="false">
      <c r="A26" s="34" t="s">
        <v>182</v>
      </c>
      <c r="B26" s="46" t="n">
        <v>0</v>
      </c>
      <c r="C26" s="46" t="n">
        <v>0</v>
      </c>
      <c r="D26" s="46" t="n">
        <v>1</v>
      </c>
      <c r="E26" s="46" t="n">
        <v>2</v>
      </c>
      <c r="F26" s="46" t="n">
        <v>3</v>
      </c>
      <c r="H26" s="34" t="s">
        <v>182</v>
      </c>
      <c r="I26" s="39" t="n">
        <v>9000</v>
      </c>
      <c r="J26" s="49" t="n">
        <f aca="false">I26*12</f>
        <v>108000</v>
      </c>
    </row>
    <row r="27" customFormat="false" ht="15" hidden="false" customHeight="false" outlineLevel="0" collapsed="false">
      <c r="A27" s="48" t="s">
        <v>183</v>
      </c>
      <c r="B27" s="43"/>
      <c r="C27" s="43"/>
      <c r="D27" s="43"/>
      <c r="E27" s="43"/>
      <c r="F27" s="43"/>
    </row>
    <row r="28" customFormat="false" ht="15" hidden="false" customHeight="false" outlineLevel="0" collapsed="false">
      <c r="A28" s="34" t="s">
        <v>184</v>
      </c>
      <c r="B28" s="46" t="n">
        <v>0</v>
      </c>
      <c r="C28" s="46" t="n">
        <v>0</v>
      </c>
      <c r="D28" s="46" t="n">
        <v>1</v>
      </c>
      <c r="E28" s="46" t="n">
        <v>1</v>
      </c>
      <c r="F28" s="46" t="n">
        <v>1</v>
      </c>
      <c r="H28" s="34" t="s">
        <v>184</v>
      </c>
      <c r="I28" s="39" t="n">
        <v>20000</v>
      </c>
      <c r="J28" s="49" t="n">
        <f aca="false">I28*12</f>
        <v>240000</v>
      </c>
    </row>
    <row r="29" customFormat="false" ht="15" hidden="false" customHeight="false" outlineLevel="0" collapsed="false">
      <c r="A29" s="34" t="s">
        <v>185</v>
      </c>
      <c r="B29" s="46" t="n">
        <v>0</v>
      </c>
      <c r="C29" s="46" t="n">
        <v>1</v>
      </c>
      <c r="D29" s="46" t="n">
        <v>2</v>
      </c>
      <c r="E29" s="46" t="n">
        <v>3</v>
      </c>
      <c r="F29" s="46" t="n">
        <v>5</v>
      </c>
      <c r="H29" s="34" t="s">
        <v>185</v>
      </c>
      <c r="I29" s="39" t="n">
        <v>10000</v>
      </c>
      <c r="J29" s="49" t="n">
        <f aca="false">I29*12</f>
        <v>120000</v>
      </c>
    </row>
    <row r="30" customFormat="false" ht="15" hidden="false" customHeight="false" outlineLevel="0" collapsed="false">
      <c r="A30" s="34" t="s">
        <v>186</v>
      </c>
      <c r="B30" s="46" t="n">
        <v>0</v>
      </c>
      <c r="C30" s="46" t="n">
        <v>0</v>
      </c>
      <c r="D30" s="46" t="n">
        <v>1</v>
      </c>
      <c r="E30" s="46" t="n">
        <v>1</v>
      </c>
      <c r="F30" s="46" t="n">
        <v>2</v>
      </c>
      <c r="H30" s="34" t="s">
        <v>186</v>
      </c>
      <c r="I30" s="39" t="n">
        <v>9000</v>
      </c>
      <c r="J30" s="49" t="n">
        <f aca="false">I30*12</f>
        <v>108000</v>
      </c>
    </row>
    <row r="31" customFormat="false" ht="15" hidden="false" customHeight="false" outlineLevel="0" collapsed="false">
      <c r="A31" s="48" t="s">
        <v>187</v>
      </c>
      <c r="B31" s="43"/>
      <c r="C31" s="43"/>
      <c r="D31" s="43"/>
      <c r="E31" s="43"/>
      <c r="F31" s="43"/>
    </row>
    <row r="32" customFormat="false" ht="15" hidden="false" customHeight="false" outlineLevel="0" collapsed="false">
      <c r="A32" s="34" t="s">
        <v>188</v>
      </c>
      <c r="B32" s="46" t="n">
        <v>0</v>
      </c>
      <c r="C32" s="46" t="n">
        <v>0</v>
      </c>
      <c r="D32" s="46" t="n">
        <v>1</v>
      </c>
      <c r="E32" s="46" t="n">
        <v>1</v>
      </c>
      <c r="F32" s="46" t="n">
        <v>1</v>
      </c>
      <c r="H32" s="34" t="s">
        <v>188</v>
      </c>
      <c r="I32" s="39" t="n">
        <v>20000</v>
      </c>
      <c r="J32" s="49" t="n">
        <f aca="false">I32*12</f>
        <v>240000</v>
      </c>
    </row>
    <row r="33" customFormat="false" ht="15" hidden="false" customHeight="false" outlineLevel="0" collapsed="false">
      <c r="A33" s="34" t="s">
        <v>189</v>
      </c>
      <c r="B33" s="46" t="n">
        <v>0</v>
      </c>
      <c r="C33" s="46" t="n">
        <v>1</v>
      </c>
      <c r="D33" s="46" t="n">
        <v>1</v>
      </c>
      <c r="E33" s="46" t="n">
        <v>2</v>
      </c>
      <c r="F33" s="46" t="n">
        <v>3</v>
      </c>
      <c r="H33" s="34" t="s">
        <v>189</v>
      </c>
      <c r="I33" s="39" t="n">
        <v>11000</v>
      </c>
      <c r="J33" s="49" t="n">
        <f aca="false">I33*12</f>
        <v>132000</v>
      </c>
    </row>
    <row r="34" customFormat="false" ht="15" hidden="false" customHeight="false" outlineLevel="0" collapsed="false">
      <c r="A34" s="34" t="s">
        <v>190</v>
      </c>
      <c r="B34" s="46" t="n">
        <v>0</v>
      </c>
      <c r="C34" s="46" t="n">
        <v>0</v>
      </c>
      <c r="D34" s="46" t="n">
        <v>1</v>
      </c>
      <c r="E34" s="46" t="n">
        <v>2</v>
      </c>
      <c r="F34" s="46" t="n">
        <v>3</v>
      </c>
      <c r="H34" s="34" t="s">
        <v>190</v>
      </c>
      <c r="I34" s="39" t="n">
        <v>7000</v>
      </c>
      <c r="J34" s="49" t="n">
        <f aca="false">I34*12</f>
        <v>84000</v>
      </c>
    </row>
    <row r="35" customFormat="false" ht="15" hidden="false" customHeight="false" outlineLevel="0" collapsed="false">
      <c r="A35" s="40" t="s">
        <v>191</v>
      </c>
      <c r="B35" s="50" t="n">
        <f aca="false">SUMPRODUCT((B5:B34)*(B5:B34&lt;&gt;0)*1)</f>
        <v>5</v>
      </c>
      <c r="C35" s="50" t="n">
        <f aca="false">SUMPRODUCT((C5:C34)*(C5:C34&lt;&gt;0)*1)</f>
        <v>14</v>
      </c>
      <c r="D35" s="50" t="n">
        <f aca="false">SUMPRODUCT((D5:D34)*(D5:D34&lt;&gt;0)*1)</f>
        <v>28</v>
      </c>
      <c r="E35" s="50" t="n">
        <f aca="false">SUMPRODUCT((E5:E34)*(E5:E34&lt;&gt;0)*1)</f>
        <v>42</v>
      </c>
      <c r="F35" s="50" t="n">
        <f aca="false">SUMPRODUCT((F5:F34)*(F5:F34&lt;&gt;0)*1)</f>
        <v>62</v>
      </c>
    </row>
    <row r="37" customFormat="false" ht="17.35" hidden="false" customHeight="false" outlineLevel="0" collapsed="false">
      <c r="A37" s="32" t="s">
        <v>192</v>
      </c>
    </row>
    <row r="38" customFormat="false" ht="28.35" hidden="false" customHeight="false" outlineLevel="0" collapsed="false">
      <c r="A38" s="33" t="s">
        <v>158</v>
      </c>
      <c r="B38" s="33" t="s">
        <v>193</v>
      </c>
      <c r="C38" s="33" t="s">
        <v>43</v>
      </c>
      <c r="D38" s="33" t="s">
        <v>44</v>
      </c>
      <c r="E38" s="33" t="s">
        <v>7</v>
      </c>
      <c r="F38" s="33" t="s">
        <v>45</v>
      </c>
      <c r="G38" s="33" t="s">
        <v>46</v>
      </c>
    </row>
    <row r="39" customFormat="false" ht="15" hidden="false" customHeight="false" outlineLevel="0" collapsed="false">
      <c r="A39" s="48" t="s">
        <v>161</v>
      </c>
      <c r="B39" s="43"/>
      <c r="C39" s="43"/>
      <c r="D39" s="43"/>
      <c r="E39" s="43"/>
      <c r="F39" s="43"/>
      <c r="G39" s="43"/>
    </row>
    <row r="40" customFormat="false" ht="15" hidden="false" customHeight="false" outlineLevel="0" collapsed="false">
      <c r="A40" s="34" t="s">
        <v>162</v>
      </c>
      <c r="B40" s="39" t="n">
        <v>420000</v>
      </c>
      <c r="C40" s="39" t="n">
        <v>420000</v>
      </c>
      <c r="D40" s="39" t="n">
        <v>420000</v>
      </c>
      <c r="E40" s="39" t="n">
        <v>420000</v>
      </c>
      <c r="F40" s="39" t="n">
        <v>420000</v>
      </c>
      <c r="G40" s="39" t="n">
        <v>420000</v>
      </c>
    </row>
    <row r="41" customFormat="false" ht="15" hidden="false" customHeight="false" outlineLevel="0" collapsed="false">
      <c r="A41" s="34" t="s">
        <v>163</v>
      </c>
      <c r="B41" s="39" t="n">
        <v>336000</v>
      </c>
      <c r="C41" s="39" t="n">
        <v>0</v>
      </c>
      <c r="D41" s="39" t="n">
        <v>0</v>
      </c>
      <c r="E41" s="39" t="n">
        <v>336000</v>
      </c>
      <c r="F41" s="39" t="n">
        <v>336000</v>
      </c>
      <c r="G41" s="39" t="n">
        <v>336000</v>
      </c>
    </row>
    <row r="42" customFormat="false" ht="15" hidden="false" customHeight="false" outlineLevel="0" collapsed="false">
      <c r="A42" s="34" t="s">
        <v>164</v>
      </c>
      <c r="B42" s="39" t="n">
        <v>336000</v>
      </c>
      <c r="C42" s="39" t="n">
        <v>0</v>
      </c>
      <c r="D42" s="39" t="n">
        <v>336000</v>
      </c>
      <c r="E42" s="39" t="n">
        <v>336000</v>
      </c>
      <c r="F42" s="39" t="n">
        <v>336000</v>
      </c>
      <c r="G42" s="39" t="n">
        <v>336000</v>
      </c>
    </row>
    <row r="43" customFormat="false" ht="15" hidden="false" customHeight="false" outlineLevel="0" collapsed="false">
      <c r="A43" s="34" t="s">
        <v>165</v>
      </c>
      <c r="B43" s="39" t="n">
        <v>360000</v>
      </c>
      <c r="C43" s="39" t="n">
        <v>0</v>
      </c>
      <c r="D43" s="39" t="n">
        <v>360000</v>
      </c>
      <c r="E43" s="39" t="n">
        <v>360000</v>
      </c>
      <c r="F43" s="39" t="n">
        <v>360000</v>
      </c>
      <c r="G43" s="39" t="n">
        <v>360000</v>
      </c>
    </row>
    <row r="44" customFormat="false" ht="15" hidden="false" customHeight="false" outlineLevel="0" collapsed="false">
      <c r="A44" s="34" t="s">
        <v>166</v>
      </c>
      <c r="B44" s="39" t="n">
        <v>300000</v>
      </c>
      <c r="C44" s="39" t="n">
        <v>0</v>
      </c>
      <c r="D44" s="39" t="n">
        <v>0</v>
      </c>
      <c r="E44" s="39" t="n">
        <v>300000</v>
      </c>
      <c r="F44" s="39" t="n">
        <v>300000</v>
      </c>
      <c r="G44" s="39" t="n">
        <v>300000</v>
      </c>
    </row>
    <row r="45" customFormat="false" ht="15" hidden="false" customHeight="false" outlineLevel="0" collapsed="false">
      <c r="A45" s="34" t="s">
        <v>167</v>
      </c>
      <c r="B45" s="39" t="n">
        <v>264000</v>
      </c>
      <c r="C45" s="39" t="n">
        <v>0</v>
      </c>
      <c r="D45" s="39" t="n">
        <v>0</v>
      </c>
      <c r="E45" s="39" t="n">
        <v>0</v>
      </c>
      <c r="F45" s="39" t="n">
        <v>264000</v>
      </c>
      <c r="G45" s="39" t="n">
        <v>264000</v>
      </c>
    </row>
    <row r="46" customFormat="false" ht="15" hidden="false" customHeight="false" outlineLevel="0" collapsed="false">
      <c r="A46" s="34" t="s">
        <v>168</v>
      </c>
      <c r="B46" s="39" t="n">
        <v>264000</v>
      </c>
      <c r="C46" s="39" t="n">
        <v>0</v>
      </c>
      <c r="D46" s="39" t="n">
        <v>0</v>
      </c>
      <c r="E46" s="39" t="n">
        <v>0</v>
      </c>
      <c r="F46" s="39" t="n">
        <v>264000</v>
      </c>
      <c r="G46" s="39" t="n">
        <v>264000</v>
      </c>
    </row>
    <row r="47" customFormat="false" ht="15" hidden="false" customHeight="false" outlineLevel="0" collapsed="false">
      <c r="A47" s="48" t="s">
        <v>169</v>
      </c>
      <c r="B47" s="43"/>
      <c r="C47" s="43"/>
      <c r="D47" s="43"/>
      <c r="E47" s="43"/>
      <c r="F47" s="43"/>
      <c r="G47" s="43"/>
    </row>
    <row r="48" customFormat="false" ht="15" hidden="false" customHeight="false" outlineLevel="0" collapsed="false">
      <c r="A48" s="34" t="s">
        <v>170</v>
      </c>
      <c r="B48" s="39" t="n">
        <v>240000</v>
      </c>
      <c r="C48" s="39" t="n">
        <v>0</v>
      </c>
      <c r="D48" s="39" t="n">
        <v>240000</v>
      </c>
      <c r="E48" s="39" t="n">
        <v>240000</v>
      </c>
      <c r="F48" s="39" t="n">
        <v>240000</v>
      </c>
      <c r="G48" s="39" t="n">
        <v>240000</v>
      </c>
    </row>
    <row r="49" customFormat="false" ht="15" hidden="false" customHeight="false" outlineLevel="0" collapsed="false">
      <c r="A49" s="34" t="s">
        <v>171</v>
      </c>
      <c r="B49" s="39" t="n">
        <v>108000</v>
      </c>
      <c r="C49" s="39" t="n">
        <v>216000</v>
      </c>
      <c r="D49" s="39" t="n">
        <v>324000</v>
      </c>
      <c r="E49" s="39" t="n">
        <v>432000</v>
      </c>
      <c r="F49" s="39" t="n">
        <v>540000</v>
      </c>
      <c r="G49" s="39" t="n">
        <v>864000</v>
      </c>
    </row>
    <row r="50" customFormat="false" ht="15" hidden="false" customHeight="false" outlineLevel="0" collapsed="false">
      <c r="A50" s="34" t="s">
        <v>172</v>
      </c>
      <c r="B50" s="39" t="n">
        <v>132000</v>
      </c>
      <c r="C50" s="39" t="n">
        <v>0</v>
      </c>
      <c r="D50" s="39" t="n">
        <v>132000</v>
      </c>
      <c r="E50" s="39" t="n">
        <v>132000</v>
      </c>
      <c r="F50" s="39" t="n">
        <v>264000</v>
      </c>
      <c r="G50" s="39" t="n">
        <v>396000</v>
      </c>
    </row>
    <row r="51" customFormat="false" ht="15" hidden="false" customHeight="false" outlineLevel="0" collapsed="false">
      <c r="A51" s="34" t="s">
        <v>173</v>
      </c>
      <c r="B51" s="39" t="n">
        <v>96000</v>
      </c>
      <c r="C51" s="39" t="n">
        <v>0</v>
      </c>
      <c r="D51" s="39" t="n">
        <v>0</v>
      </c>
      <c r="E51" s="39" t="n">
        <v>96000</v>
      </c>
      <c r="F51" s="39" t="n">
        <v>96000</v>
      </c>
      <c r="G51" s="39" t="n">
        <v>192000</v>
      </c>
    </row>
    <row r="52" customFormat="false" ht="15" hidden="false" customHeight="false" outlineLevel="0" collapsed="false">
      <c r="A52" s="48" t="s">
        <v>174</v>
      </c>
      <c r="B52" s="43"/>
      <c r="C52" s="43"/>
      <c r="D52" s="43"/>
      <c r="E52" s="43"/>
      <c r="F52" s="43"/>
      <c r="G52" s="43"/>
    </row>
    <row r="53" customFormat="false" ht="15" hidden="false" customHeight="false" outlineLevel="0" collapsed="false">
      <c r="A53" s="34" t="s">
        <v>175</v>
      </c>
      <c r="B53" s="39" t="n">
        <v>264000</v>
      </c>
      <c r="C53" s="39" t="n">
        <v>0</v>
      </c>
      <c r="D53" s="39" t="n">
        <v>0</v>
      </c>
      <c r="E53" s="39" t="n">
        <v>264000</v>
      </c>
      <c r="F53" s="39" t="n">
        <v>264000</v>
      </c>
      <c r="G53" s="39" t="n">
        <v>264000</v>
      </c>
    </row>
    <row r="54" customFormat="false" ht="15" hidden="false" customHeight="false" outlineLevel="0" collapsed="false">
      <c r="A54" s="34" t="s">
        <v>176</v>
      </c>
      <c r="B54" s="39" t="n">
        <v>144000</v>
      </c>
      <c r="C54" s="39" t="n">
        <v>144000</v>
      </c>
      <c r="D54" s="39" t="n">
        <v>144000</v>
      </c>
      <c r="E54" s="39" t="n">
        <v>144000</v>
      </c>
      <c r="F54" s="39" t="n">
        <v>432000</v>
      </c>
      <c r="G54" s="39" t="n">
        <v>720000</v>
      </c>
    </row>
    <row r="55" customFormat="false" ht="15" hidden="false" customHeight="false" outlineLevel="0" collapsed="false">
      <c r="A55" s="34" t="s">
        <v>177</v>
      </c>
      <c r="B55" s="39" t="n">
        <v>180000</v>
      </c>
      <c r="C55" s="39" t="n">
        <v>0</v>
      </c>
      <c r="D55" s="39" t="n">
        <v>180000</v>
      </c>
      <c r="E55" s="39" t="n">
        <v>360000</v>
      </c>
      <c r="F55" s="39" t="n">
        <v>540000</v>
      </c>
      <c r="G55" s="39" t="n">
        <v>900000</v>
      </c>
    </row>
    <row r="56" customFormat="false" ht="15" hidden="false" customHeight="false" outlineLevel="0" collapsed="false">
      <c r="A56" s="34" t="s">
        <v>178</v>
      </c>
      <c r="B56" s="39" t="n">
        <v>180000</v>
      </c>
      <c r="C56" s="39" t="n">
        <v>0</v>
      </c>
      <c r="D56" s="39" t="n">
        <v>0</v>
      </c>
      <c r="E56" s="39" t="n">
        <v>180000</v>
      </c>
      <c r="F56" s="39" t="n">
        <v>360000</v>
      </c>
      <c r="G56" s="39" t="n">
        <v>540000</v>
      </c>
    </row>
    <row r="57" customFormat="false" ht="15" hidden="false" customHeight="false" outlineLevel="0" collapsed="false">
      <c r="A57" s="48" t="s">
        <v>179</v>
      </c>
      <c r="B57" s="43"/>
      <c r="C57" s="43"/>
      <c r="D57" s="43"/>
      <c r="E57" s="43"/>
      <c r="F57" s="43"/>
      <c r="G57" s="43"/>
    </row>
    <row r="58" customFormat="false" ht="15" hidden="false" customHeight="false" outlineLevel="0" collapsed="false">
      <c r="A58" s="34" t="s">
        <v>180</v>
      </c>
      <c r="B58" s="39" t="n">
        <v>216000</v>
      </c>
      <c r="C58" s="39" t="n">
        <v>0</v>
      </c>
      <c r="D58" s="39" t="n">
        <v>0</v>
      </c>
      <c r="E58" s="39" t="n">
        <v>216000</v>
      </c>
      <c r="F58" s="39" t="n">
        <v>216000</v>
      </c>
      <c r="G58" s="39" t="n">
        <v>216000</v>
      </c>
    </row>
    <row r="59" customFormat="false" ht="15" hidden="false" customHeight="false" outlineLevel="0" collapsed="false">
      <c r="A59" s="34" t="s">
        <v>181</v>
      </c>
      <c r="B59" s="39" t="n">
        <v>86400</v>
      </c>
      <c r="C59" s="39" t="n">
        <v>86400</v>
      </c>
      <c r="D59" s="39" t="n">
        <v>172800</v>
      </c>
      <c r="E59" s="39" t="n">
        <v>172800</v>
      </c>
      <c r="F59" s="39" t="n">
        <v>345600</v>
      </c>
      <c r="G59" s="39" t="n">
        <v>691200</v>
      </c>
    </row>
    <row r="60" customFormat="false" ht="15" hidden="false" customHeight="false" outlineLevel="0" collapsed="false">
      <c r="A60" s="34" t="s">
        <v>182</v>
      </c>
      <c r="B60" s="39" t="n">
        <v>108000</v>
      </c>
      <c r="C60" s="39" t="n">
        <v>0</v>
      </c>
      <c r="D60" s="39" t="n">
        <v>0</v>
      </c>
      <c r="E60" s="39" t="n">
        <v>108000</v>
      </c>
      <c r="F60" s="39" t="n">
        <v>216000</v>
      </c>
      <c r="G60" s="39" t="n">
        <v>324000</v>
      </c>
    </row>
    <row r="61" customFormat="false" ht="15" hidden="false" customHeight="false" outlineLevel="0" collapsed="false">
      <c r="A61" s="48" t="s">
        <v>183</v>
      </c>
      <c r="B61" s="43"/>
      <c r="C61" s="43"/>
      <c r="D61" s="43"/>
      <c r="E61" s="43"/>
      <c r="F61" s="43"/>
      <c r="G61" s="43"/>
    </row>
    <row r="62" customFormat="false" ht="15" hidden="false" customHeight="false" outlineLevel="0" collapsed="false">
      <c r="A62" s="34" t="s">
        <v>184</v>
      </c>
      <c r="B62" s="39" t="n">
        <v>240000</v>
      </c>
      <c r="C62" s="39" t="n">
        <v>0</v>
      </c>
      <c r="D62" s="39" t="n">
        <v>0</v>
      </c>
      <c r="E62" s="39" t="n">
        <v>240000</v>
      </c>
      <c r="F62" s="39" t="n">
        <v>240000</v>
      </c>
      <c r="G62" s="39" t="n">
        <v>240000</v>
      </c>
    </row>
    <row r="63" customFormat="false" ht="15" hidden="false" customHeight="false" outlineLevel="0" collapsed="false">
      <c r="A63" s="34" t="s">
        <v>185</v>
      </c>
      <c r="B63" s="39" t="n">
        <v>120000</v>
      </c>
      <c r="C63" s="39" t="n">
        <v>0</v>
      </c>
      <c r="D63" s="39" t="n">
        <v>120000</v>
      </c>
      <c r="E63" s="39" t="n">
        <v>240000</v>
      </c>
      <c r="F63" s="39" t="n">
        <v>360000</v>
      </c>
      <c r="G63" s="39" t="n">
        <v>600000</v>
      </c>
    </row>
    <row r="64" customFormat="false" ht="15" hidden="false" customHeight="false" outlineLevel="0" collapsed="false">
      <c r="A64" s="34" t="s">
        <v>186</v>
      </c>
      <c r="B64" s="39" t="n">
        <v>108000</v>
      </c>
      <c r="C64" s="39" t="n">
        <v>0</v>
      </c>
      <c r="D64" s="39" t="n">
        <v>0</v>
      </c>
      <c r="E64" s="39" t="n">
        <v>108000</v>
      </c>
      <c r="F64" s="39" t="n">
        <v>108000</v>
      </c>
      <c r="G64" s="39" t="n">
        <v>216000</v>
      </c>
    </row>
    <row r="65" customFormat="false" ht="15" hidden="false" customHeight="false" outlineLevel="0" collapsed="false">
      <c r="A65" s="48" t="s">
        <v>187</v>
      </c>
      <c r="B65" s="43"/>
      <c r="C65" s="43"/>
      <c r="D65" s="43"/>
      <c r="E65" s="43"/>
      <c r="F65" s="43"/>
      <c r="G65" s="43"/>
    </row>
    <row r="66" customFormat="false" ht="15" hidden="false" customHeight="false" outlineLevel="0" collapsed="false">
      <c r="A66" s="34" t="s">
        <v>188</v>
      </c>
      <c r="B66" s="39" t="n">
        <v>240000</v>
      </c>
      <c r="C66" s="39" t="n">
        <v>0</v>
      </c>
      <c r="D66" s="39" t="n">
        <v>0</v>
      </c>
      <c r="E66" s="39" t="n">
        <v>240000</v>
      </c>
      <c r="F66" s="39" t="n">
        <v>240000</v>
      </c>
      <c r="G66" s="39" t="n">
        <v>240000</v>
      </c>
    </row>
    <row r="67" customFormat="false" ht="15" hidden="false" customHeight="false" outlineLevel="0" collapsed="false">
      <c r="A67" s="34" t="s">
        <v>189</v>
      </c>
      <c r="B67" s="39" t="n">
        <v>132000</v>
      </c>
      <c r="C67" s="39" t="n">
        <v>0</v>
      </c>
      <c r="D67" s="39" t="n">
        <v>132000</v>
      </c>
      <c r="E67" s="39" t="n">
        <v>132000</v>
      </c>
      <c r="F67" s="39" t="n">
        <v>264000</v>
      </c>
      <c r="G67" s="39" t="n">
        <v>396000</v>
      </c>
    </row>
    <row r="68" customFormat="false" ht="15" hidden="false" customHeight="false" outlineLevel="0" collapsed="false">
      <c r="A68" s="34" t="s">
        <v>190</v>
      </c>
      <c r="B68" s="39" t="n">
        <v>84000</v>
      </c>
      <c r="C68" s="39" t="n">
        <v>0</v>
      </c>
      <c r="D68" s="39" t="n">
        <v>0</v>
      </c>
      <c r="E68" s="39" t="n">
        <v>84000</v>
      </c>
      <c r="F68" s="39" t="n">
        <v>168000</v>
      </c>
      <c r="G68" s="39" t="n">
        <v>252000</v>
      </c>
    </row>
    <row r="69" customFormat="false" ht="15" hidden="false" customHeight="false" outlineLevel="0" collapsed="false">
      <c r="A69" s="40" t="s">
        <v>194</v>
      </c>
      <c r="B69" s="40"/>
      <c r="C69" s="41" t="n">
        <f aca="false">SUMPRODUCT((C39:C68)*(C39:C68&lt;&gt;0)*1)</f>
        <v>866400</v>
      </c>
      <c r="D69" s="41" t="n">
        <f aca="false">SUMPRODUCT((D39:D68)*(D39:D68&lt;&gt;0)*1)</f>
        <v>2560800</v>
      </c>
      <c r="E69" s="41" t="n">
        <f aca="false">SUMPRODUCT((E39:E68)*(E39:E68&lt;&gt;0)*1)</f>
        <v>5140800</v>
      </c>
      <c r="F69" s="41" t="n">
        <f aca="false">SUMPRODUCT((F39:F68)*(F39:F68&lt;&gt;0)*1)</f>
        <v>7173600</v>
      </c>
      <c r="G69" s="41" t="n">
        <f aca="false">SUMPRODUCT((G39:G68)*(G39:G68&lt;&gt;0)*1)</f>
        <v>9571200</v>
      </c>
    </row>
    <row r="71" customFormat="false" ht="17.35" hidden="false" customHeight="false" outlineLevel="0" collapsed="false">
      <c r="A71" s="32" t="s">
        <v>128</v>
      </c>
    </row>
    <row r="73" customFormat="false" ht="15" hidden="false" customHeight="false" outlineLevel="0" collapsed="false">
      <c r="A73" s="51" t="s">
        <v>195</v>
      </c>
    </row>
    <row r="74" customFormat="false" ht="15" hidden="false" customHeight="false" outlineLevel="0" collapsed="false">
      <c r="A74" s="4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197</v>
      </c>
    </row>
    <row r="2" customFormat="false" ht="15" hidden="false" customHeight="false" outlineLevel="0" collapsed="false">
      <c r="A2" s="47" t="s">
        <v>198</v>
      </c>
    </row>
    <row r="4" customFormat="false" ht="15" hidden="false" customHeight="false" outlineLevel="0" collapsed="false">
      <c r="A4" s="33" t="s">
        <v>147</v>
      </c>
      <c r="B4" s="33" t="s">
        <v>43</v>
      </c>
      <c r="C4" s="33" t="s">
        <v>44</v>
      </c>
      <c r="D4" s="33" t="s">
        <v>7</v>
      </c>
      <c r="E4" s="33" t="s">
        <v>45</v>
      </c>
      <c r="F4" s="33" t="s">
        <v>46</v>
      </c>
    </row>
    <row r="5" customFormat="false" ht="15" hidden="false" customHeight="false" outlineLevel="0" collapsed="false">
      <c r="A5" s="34" t="s">
        <v>199</v>
      </c>
      <c r="B5" s="39" t="n">
        <v>3744000</v>
      </c>
      <c r="C5" s="39" t="n">
        <v>3744000</v>
      </c>
      <c r="D5" s="39" t="n">
        <v>3744000</v>
      </c>
      <c r="E5" s="39" t="n">
        <v>3744000</v>
      </c>
      <c r="F5" s="39" t="n">
        <v>3744000</v>
      </c>
    </row>
    <row r="6" customFormat="false" ht="15" hidden="false" customHeight="false" outlineLevel="0" collapsed="false">
      <c r="A6" s="34" t="s">
        <v>200</v>
      </c>
      <c r="B6" s="39" t="n">
        <v>720000</v>
      </c>
      <c r="C6" s="39" t="n">
        <v>1200000</v>
      </c>
      <c r="D6" s="39" t="n">
        <v>2400000</v>
      </c>
      <c r="E6" s="39" t="n">
        <v>4800000</v>
      </c>
      <c r="F6" s="39" t="n">
        <v>12000000</v>
      </c>
    </row>
    <row r="7" customFormat="false" ht="15" hidden="false" customHeight="false" outlineLevel="0" collapsed="false">
      <c r="A7" s="34" t="s">
        <v>201</v>
      </c>
      <c r="B7" s="39" t="n">
        <v>300000</v>
      </c>
      <c r="C7" s="39" t="n">
        <v>300000</v>
      </c>
      <c r="D7" s="39" t="n">
        <v>450000</v>
      </c>
      <c r="E7" s="39" t="n">
        <v>750000</v>
      </c>
      <c r="F7" s="39" t="n">
        <v>1500000</v>
      </c>
    </row>
    <row r="8" customFormat="false" ht="15" hidden="false" customHeight="false" outlineLevel="0" collapsed="false">
      <c r="A8" s="34" t="s">
        <v>202</v>
      </c>
      <c r="B8" s="39" t="n">
        <v>100000</v>
      </c>
      <c r="C8" s="39" t="n">
        <v>150000</v>
      </c>
      <c r="D8" s="39" t="n">
        <v>200000</v>
      </c>
      <c r="E8" s="39" t="n">
        <v>300000</v>
      </c>
      <c r="F8" s="39" t="n">
        <v>600000</v>
      </c>
    </row>
    <row r="9" customFormat="false" ht="15" hidden="false" customHeight="false" outlineLevel="0" collapsed="false">
      <c r="A9" s="34" t="s">
        <v>203</v>
      </c>
      <c r="B9" s="39" t="n">
        <v>1200000</v>
      </c>
      <c r="C9" s="39" t="n">
        <v>1200000</v>
      </c>
      <c r="D9" s="39" t="n">
        <v>1200000</v>
      </c>
      <c r="E9" s="39" t="n">
        <v>1200000</v>
      </c>
      <c r="F9" s="39" t="n">
        <v>1200000</v>
      </c>
    </row>
    <row r="10" customFormat="false" ht="15" hidden="false" customHeight="false" outlineLevel="0" collapsed="false">
      <c r="A10" s="34" t="s">
        <v>204</v>
      </c>
      <c r="B10" s="39" t="n">
        <v>600000</v>
      </c>
      <c r="C10" s="39" t="n">
        <v>600000</v>
      </c>
      <c r="D10" s="39" t="n">
        <v>600000</v>
      </c>
      <c r="E10" s="39" t="n">
        <v>600000</v>
      </c>
      <c r="F10" s="39" t="n">
        <v>600000</v>
      </c>
    </row>
    <row r="11" customFormat="false" ht="15" hidden="false" customHeight="false" outlineLevel="0" collapsed="false">
      <c r="A11" s="34" t="s">
        <v>205</v>
      </c>
      <c r="B11" s="39" t="n">
        <v>1000000</v>
      </c>
      <c r="C11" s="39" t="n">
        <v>1000000</v>
      </c>
      <c r="D11" s="39" t="n">
        <v>1000000</v>
      </c>
      <c r="E11" s="39" t="n">
        <v>1000000</v>
      </c>
      <c r="F11" s="39" t="n">
        <v>1000000</v>
      </c>
    </row>
    <row r="12" customFormat="false" ht="15" hidden="false" customHeight="false" outlineLevel="0" collapsed="false">
      <c r="A12" s="34" t="s">
        <v>206</v>
      </c>
      <c r="B12" s="39" t="n">
        <v>500000</v>
      </c>
      <c r="C12" s="39" t="n">
        <v>500000</v>
      </c>
      <c r="D12" s="39" t="n">
        <v>500000</v>
      </c>
      <c r="E12" s="39" t="n">
        <v>500000</v>
      </c>
      <c r="F12" s="39" t="n">
        <v>500000</v>
      </c>
    </row>
    <row r="13" customFormat="false" ht="15" hidden="false" customHeight="false" outlineLevel="0" collapsed="false">
      <c r="A13" s="34" t="s">
        <v>207</v>
      </c>
      <c r="B13" s="39" t="n">
        <v>750000</v>
      </c>
      <c r="C13" s="39" t="n">
        <v>750000</v>
      </c>
      <c r="D13" s="39" t="n">
        <v>750000</v>
      </c>
      <c r="E13" s="39" t="n">
        <v>750000</v>
      </c>
      <c r="F13" s="39" t="n">
        <v>750000</v>
      </c>
    </row>
    <row r="14" customFormat="false" ht="15" hidden="false" customHeight="false" outlineLevel="0" collapsed="false">
      <c r="A14" s="40" t="s">
        <v>208</v>
      </c>
      <c r="B14" s="41" t="n">
        <f aca="false">SUM(B5:B13)</f>
        <v>8914000</v>
      </c>
      <c r="C14" s="41" t="n">
        <f aca="false">SUM(C5:C13)</f>
        <v>9444000</v>
      </c>
      <c r="D14" s="41" t="n">
        <f aca="false">SUM(D5:D13)</f>
        <v>10844000</v>
      </c>
      <c r="E14" s="41" t="n">
        <f aca="false">SUM(E5:E13)</f>
        <v>13644000</v>
      </c>
      <c r="F14" s="41" t="n">
        <f aca="false">SUM(F5:F13)</f>
        <v>21894000</v>
      </c>
    </row>
    <row r="16" customFormat="false" ht="17.35" hidden="false" customHeight="false" outlineLevel="0" collapsed="false">
      <c r="A16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209</v>
      </c>
    </row>
    <row r="2" customFormat="false" ht="15" hidden="false" customHeight="false" outlineLevel="0" collapsed="false">
      <c r="A2" s="47" t="s">
        <v>210</v>
      </c>
    </row>
    <row r="4" customFormat="false" ht="15" hidden="false" customHeight="false" outlineLevel="0" collapsed="false">
      <c r="A4" s="33" t="s">
        <v>147</v>
      </c>
      <c r="B4" s="33" t="s">
        <v>43</v>
      </c>
      <c r="C4" s="33" t="s">
        <v>44</v>
      </c>
      <c r="D4" s="33" t="s">
        <v>7</v>
      </c>
      <c r="E4" s="33" t="s">
        <v>45</v>
      </c>
      <c r="F4" s="33" t="s">
        <v>46</v>
      </c>
    </row>
    <row r="5" customFormat="false" ht="15" hidden="false" customHeight="false" outlineLevel="0" collapsed="false">
      <c r="A5" s="34" t="s">
        <v>211</v>
      </c>
      <c r="B5" s="39" t="n">
        <v>500000</v>
      </c>
      <c r="C5" s="39" t="n">
        <v>500000</v>
      </c>
      <c r="D5" s="39" t="n">
        <v>500000</v>
      </c>
      <c r="E5" s="39" t="n">
        <v>500000</v>
      </c>
      <c r="F5" s="39" t="n">
        <v>500000</v>
      </c>
    </row>
    <row r="6" customFormat="false" ht="15" hidden="false" customHeight="false" outlineLevel="0" collapsed="false">
      <c r="A6" s="34" t="s">
        <v>212</v>
      </c>
      <c r="B6" s="39" t="n">
        <v>300000</v>
      </c>
      <c r="C6" s="39" t="n">
        <v>300000</v>
      </c>
      <c r="D6" s="39" t="n">
        <v>300000</v>
      </c>
      <c r="E6" s="39" t="n">
        <v>300000</v>
      </c>
      <c r="F6" s="39" t="n">
        <v>300000</v>
      </c>
    </row>
    <row r="7" customFormat="false" ht="15" hidden="false" customHeight="false" outlineLevel="0" collapsed="false">
      <c r="A7" s="34" t="s">
        <v>213</v>
      </c>
      <c r="B7" s="39" t="n">
        <v>250000</v>
      </c>
      <c r="C7" s="39" t="n">
        <v>250000</v>
      </c>
      <c r="D7" s="39" t="n">
        <v>250000</v>
      </c>
      <c r="E7" s="39" t="n">
        <v>250000</v>
      </c>
      <c r="F7" s="39" t="n">
        <v>250000</v>
      </c>
    </row>
    <row r="8" customFormat="false" ht="15" hidden="false" customHeight="false" outlineLevel="0" collapsed="false">
      <c r="A8" s="34" t="s">
        <v>214</v>
      </c>
      <c r="B8" s="39" t="n">
        <v>450000</v>
      </c>
      <c r="C8" s="39" t="n">
        <v>450000</v>
      </c>
      <c r="D8" s="39" t="n">
        <v>450000</v>
      </c>
      <c r="E8" s="39" t="n">
        <v>450000</v>
      </c>
      <c r="F8" s="39" t="n">
        <v>450000</v>
      </c>
    </row>
    <row r="9" customFormat="false" ht="15" hidden="false" customHeight="false" outlineLevel="0" collapsed="false">
      <c r="A9" s="40" t="s">
        <v>215</v>
      </c>
      <c r="B9" s="41" t="n">
        <f aca="false">SUM(B5:B8)</f>
        <v>1500000</v>
      </c>
      <c r="C9" s="41" t="n">
        <f aca="false">SUM(C5:C8)</f>
        <v>1500000</v>
      </c>
      <c r="D9" s="41" t="n">
        <f aca="false">SUM(D5:D8)</f>
        <v>1500000</v>
      </c>
      <c r="E9" s="41" t="n">
        <f aca="false">SUM(E5:E8)</f>
        <v>1500000</v>
      </c>
      <c r="F9" s="41" t="n">
        <f aca="false">SUM(F5:F8)</f>
        <v>1500000</v>
      </c>
    </row>
    <row r="11" customFormat="false" ht="17.35" hidden="false" customHeight="false" outlineLevel="0" collapsed="false">
      <c r="A11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216</v>
      </c>
    </row>
    <row r="2" customFormat="false" ht="15" hidden="false" customHeight="false" outlineLevel="0" collapsed="false">
      <c r="A2" s="47" t="s">
        <v>217</v>
      </c>
    </row>
    <row r="4" customFormat="false" ht="15" hidden="false" customHeight="false" outlineLevel="0" collapsed="false">
      <c r="A4" s="33" t="s">
        <v>147</v>
      </c>
      <c r="B4" s="33" t="s">
        <v>43</v>
      </c>
      <c r="C4" s="33" t="s">
        <v>44</v>
      </c>
      <c r="D4" s="33" t="s">
        <v>7</v>
      </c>
      <c r="E4" s="33" t="s">
        <v>45</v>
      </c>
      <c r="F4" s="33" t="s">
        <v>46</v>
      </c>
    </row>
    <row r="5" customFormat="false" ht="15" hidden="false" customHeight="false" outlineLevel="0" collapsed="false">
      <c r="A5" s="34" t="s">
        <v>218</v>
      </c>
      <c r="B5" s="39" t="n">
        <v>500000</v>
      </c>
      <c r="C5" s="39" t="n">
        <v>500000</v>
      </c>
      <c r="D5" s="39" t="n">
        <v>750000</v>
      </c>
      <c r="E5" s="39" t="n">
        <v>1250000</v>
      </c>
      <c r="F5" s="39" t="n">
        <v>2500000</v>
      </c>
    </row>
    <row r="6" customFormat="false" ht="15" hidden="false" customHeight="false" outlineLevel="0" collapsed="false">
      <c r="A6" s="34" t="s">
        <v>219</v>
      </c>
      <c r="B6" s="39" t="n">
        <v>170000</v>
      </c>
      <c r="C6" s="39" t="n">
        <v>255000</v>
      </c>
      <c r="D6" s="39" t="n">
        <v>340000</v>
      </c>
      <c r="E6" s="39" t="n">
        <v>510000</v>
      </c>
      <c r="F6" s="39" t="n">
        <v>1020000</v>
      </c>
    </row>
    <row r="7" customFormat="false" ht="15" hidden="false" customHeight="false" outlineLevel="0" collapsed="false">
      <c r="A7" s="34" t="s">
        <v>220</v>
      </c>
      <c r="B7" s="39" t="n">
        <v>45000</v>
      </c>
      <c r="C7" s="39" t="n">
        <v>75000</v>
      </c>
      <c r="D7" s="39" t="n">
        <v>105000</v>
      </c>
      <c r="E7" s="39" t="n">
        <v>180000</v>
      </c>
      <c r="F7" s="39" t="n">
        <v>375000</v>
      </c>
    </row>
    <row r="8" customFormat="false" ht="15" hidden="false" customHeight="false" outlineLevel="0" collapsed="false">
      <c r="A8" s="34" t="s">
        <v>221</v>
      </c>
      <c r="B8" s="39" t="n">
        <v>120000</v>
      </c>
      <c r="C8" s="39" t="n">
        <v>120000</v>
      </c>
      <c r="D8" s="39" t="n">
        <v>240000</v>
      </c>
      <c r="E8" s="39" t="n">
        <v>360000</v>
      </c>
      <c r="F8" s="39" t="n">
        <v>600000</v>
      </c>
    </row>
    <row r="9" customFormat="false" ht="15" hidden="false" customHeight="false" outlineLevel="0" collapsed="false">
      <c r="A9" s="34" t="s">
        <v>222</v>
      </c>
      <c r="B9" s="39" t="n">
        <v>119000</v>
      </c>
      <c r="C9" s="39" t="n">
        <v>165000</v>
      </c>
      <c r="D9" s="39" t="n">
        <v>280000</v>
      </c>
      <c r="E9" s="39" t="n">
        <v>510000</v>
      </c>
      <c r="F9" s="39" t="n">
        <v>1200000</v>
      </c>
    </row>
    <row r="10" customFormat="false" ht="15" hidden="false" customHeight="false" outlineLevel="0" collapsed="false">
      <c r="A10" s="34" t="s">
        <v>223</v>
      </c>
      <c r="B10" s="39" t="n">
        <v>145000</v>
      </c>
      <c r="C10" s="39" t="n">
        <v>175000</v>
      </c>
      <c r="D10" s="39" t="n">
        <v>250000</v>
      </c>
      <c r="E10" s="39" t="n">
        <v>400000</v>
      </c>
      <c r="F10" s="39" t="n">
        <v>850000</v>
      </c>
    </row>
    <row r="11" customFormat="false" ht="15" hidden="false" customHeight="false" outlineLevel="0" collapsed="false">
      <c r="A11" s="40" t="s">
        <v>224</v>
      </c>
      <c r="B11" s="41" t="n">
        <f aca="false">SUM(B5:B10)</f>
        <v>1099000</v>
      </c>
      <c r="C11" s="41" t="n">
        <f aca="false">SUM(C5:C10)</f>
        <v>1290000</v>
      </c>
      <c r="D11" s="41" t="n">
        <f aca="false">SUM(D5:D10)</f>
        <v>1965000</v>
      </c>
      <c r="E11" s="41" t="n">
        <f aca="false">SUM(E5:E10)</f>
        <v>3210000</v>
      </c>
      <c r="F11" s="41" t="n">
        <f aca="false">SUM(F5:F10)</f>
        <v>6545000</v>
      </c>
    </row>
    <row r="13" customFormat="false" ht="15" hidden="false" customHeight="false" outlineLevel="0" collapsed="false">
      <c r="A13" s="42" t="s">
        <v>225</v>
      </c>
      <c r="B13" s="43"/>
      <c r="C13" s="43"/>
      <c r="D13" s="43"/>
      <c r="E13" s="43"/>
      <c r="F13" s="43"/>
    </row>
    <row r="14" customFormat="false" ht="15" hidden="false" customHeight="false" outlineLevel="0" collapsed="false">
      <c r="A14" s="33" t="s">
        <v>226</v>
      </c>
      <c r="B14" s="33" t="s">
        <v>43</v>
      </c>
      <c r="C14" s="33" t="s">
        <v>44</v>
      </c>
      <c r="D14" s="33" t="s">
        <v>7</v>
      </c>
      <c r="E14" s="33" t="s">
        <v>45</v>
      </c>
      <c r="F14" s="33" t="s">
        <v>46</v>
      </c>
    </row>
    <row r="15" customFormat="false" ht="15" hidden="false" customHeight="false" outlineLevel="0" collapsed="false">
      <c r="A15" s="34" t="s">
        <v>227</v>
      </c>
      <c r="B15" s="46" t="n">
        <v>2</v>
      </c>
      <c r="C15" s="46" t="n">
        <v>2</v>
      </c>
      <c r="D15" s="46" t="n">
        <v>3</v>
      </c>
      <c r="E15" s="46" t="n">
        <v>5</v>
      </c>
      <c r="F15" s="46" t="n">
        <v>10</v>
      </c>
    </row>
    <row r="16" customFormat="false" ht="15" hidden="false" customHeight="false" outlineLevel="0" collapsed="false">
      <c r="A16" s="34" t="s">
        <v>228</v>
      </c>
      <c r="B16" s="46" t="n">
        <v>2</v>
      </c>
      <c r="C16" s="46" t="n">
        <v>3</v>
      </c>
      <c r="D16" s="46" t="n">
        <v>4</v>
      </c>
      <c r="E16" s="46" t="n">
        <v>6</v>
      </c>
      <c r="F16" s="46" t="n">
        <v>12</v>
      </c>
    </row>
    <row r="17" customFormat="false" ht="15" hidden="false" customHeight="false" outlineLevel="0" collapsed="false">
      <c r="A17" s="34" t="s">
        <v>229</v>
      </c>
      <c r="B17" s="46" t="n">
        <v>3</v>
      </c>
      <c r="C17" s="46" t="n">
        <v>5</v>
      </c>
      <c r="D17" s="46" t="n">
        <v>7</v>
      </c>
      <c r="E17" s="46" t="n">
        <v>12</v>
      </c>
      <c r="F17" s="46" t="n">
        <v>25</v>
      </c>
    </row>
    <row r="18" customFormat="false" ht="15" hidden="false" customHeight="false" outlineLevel="0" collapsed="false">
      <c r="A18" s="34" t="s">
        <v>230</v>
      </c>
      <c r="B18" s="46" t="n">
        <v>1</v>
      </c>
      <c r="C18" s="46" t="n">
        <v>1</v>
      </c>
      <c r="D18" s="46" t="n">
        <v>2</v>
      </c>
      <c r="E18" s="46" t="n">
        <v>3</v>
      </c>
      <c r="F18" s="46" t="n">
        <v>5</v>
      </c>
    </row>
    <row r="20" customFormat="false" ht="17.35" hidden="false" customHeight="false" outlineLevel="0" collapsed="false">
      <c r="A20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231</v>
      </c>
    </row>
    <row r="2" customFormat="false" ht="15" hidden="false" customHeight="false" outlineLevel="0" collapsed="false">
      <c r="A2" s="47" t="s">
        <v>232</v>
      </c>
    </row>
    <row r="4" customFormat="false" ht="15" hidden="false" customHeight="false" outlineLevel="0" collapsed="false">
      <c r="A4" s="33" t="s">
        <v>147</v>
      </c>
      <c r="B4" s="33" t="s">
        <v>43</v>
      </c>
      <c r="C4" s="33" t="s">
        <v>44</v>
      </c>
      <c r="D4" s="33" t="s">
        <v>7</v>
      </c>
      <c r="E4" s="33" t="s">
        <v>45</v>
      </c>
      <c r="F4" s="33" t="s">
        <v>46</v>
      </c>
    </row>
    <row r="5" customFormat="false" ht="15" hidden="false" customHeight="false" outlineLevel="0" collapsed="false">
      <c r="A5" s="34" t="s">
        <v>233</v>
      </c>
      <c r="B5" s="39" t="n">
        <v>312000</v>
      </c>
      <c r="C5" s="39" t="n">
        <v>312000</v>
      </c>
      <c r="D5" s="39" t="n">
        <v>312000</v>
      </c>
      <c r="E5" s="39" t="n">
        <v>312000</v>
      </c>
      <c r="F5" s="39" t="n">
        <v>312000</v>
      </c>
    </row>
    <row r="6" customFormat="false" ht="15" hidden="false" customHeight="false" outlineLevel="0" collapsed="false">
      <c r="A6" s="34" t="s">
        <v>234</v>
      </c>
      <c r="B6" s="39" t="n">
        <v>777747</v>
      </c>
      <c r="C6" s="39" t="n">
        <v>777747</v>
      </c>
      <c r="D6" s="39" t="n">
        <v>777747</v>
      </c>
      <c r="E6" s="39" t="n">
        <v>777747</v>
      </c>
      <c r="F6" s="39" t="n">
        <v>777747</v>
      </c>
    </row>
    <row r="7" customFormat="false" ht="15" hidden="false" customHeight="false" outlineLevel="0" collapsed="false">
      <c r="A7" s="34" t="s">
        <v>235</v>
      </c>
      <c r="B7" s="39" t="n">
        <v>300000</v>
      </c>
      <c r="C7" s="39" t="n">
        <v>300000</v>
      </c>
      <c r="D7" s="39" t="n">
        <v>300000</v>
      </c>
      <c r="E7" s="39" t="n">
        <v>300000</v>
      </c>
      <c r="F7" s="39" t="n">
        <v>300000</v>
      </c>
    </row>
    <row r="8" customFormat="false" ht="15" hidden="false" customHeight="false" outlineLevel="0" collapsed="false">
      <c r="A8" s="34" t="s">
        <v>236</v>
      </c>
      <c r="B8" s="39" t="n">
        <v>2160000</v>
      </c>
      <c r="C8" s="39" t="n">
        <v>2160000</v>
      </c>
      <c r="D8" s="39" t="n">
        <v>2160000</v>
      </c>
      <c r="E8" s="39" t="n">
        <v>2160000</v>
      </c>
      <c r="F8" s="39" t="n">
        <v>2160000</v>
      </c>
    </row>
    <row r="9" customFormat="false" ht="15" hidden="false" customHeight="false" outlineLevel="0" collapsed="false">
      <c r="A9" s="34" t="s">
        <v>237</v>
      </c>
      <c r="B9" s="39" t="n">
        <v>1403850</v>
      </c>
      <c r="C9" s="39" t="n">
        <v>1403850</v>
      </c>
      <c r="D9" s="39" t="n">
        <v>1403850</v>
      </c>
      <c r="E9" s="39" t="n">
        <v>1403850</v>
      </c>
      <c r="F9" s="39" t="n">
        <v>1403850</v>
      </c>
    </row>
    <row r="10" customFormat="false" ht="15" hidden="false" customHeight="false" outlineLevel="0" collapsed="false">
      <c r="A10" s="34" t="s">
        <v>238</v>
      </c>
      <c r="B10" s="39" t="n">
        <v>325000</v>
      </c>
      <c r="C10" s="39" t="n">
        <v>325000</v>
      </c>
      <c r="D10" s="39" t="n">
        <v>325000</v>
      </c>
      <c r="E10" s="39" t="n">
        <v>325000</v>
      </c>
      <c r="F10" s="39" t="n">
        <v>325000</v>
      </c>
    </row>
    <row r="11" customFormat="false" ht="15" hidden="false" customHeight="false" outlineLevel="0" collapsed="false">
      <c r="A11" s="34" t="s">
        <v>239</v>
      </c>
      <c r="B11" s="39" t="n">
        <v>1060000</v>
      </c>
      <c r="C11" s="39" t="n">
        <v>1060000</v>
      </c>
      <c r="D11" s="39" t="n">
        <v>1060000</v>
      </c>
      <c r="E11" s="39" t="n">
        <v>1060000</v>
      </c>
      <c r="F11" s="39" t="n">
        <v>1060000</v>
      </c>
    </row>
    <row r="12" customFormat="false" ht="15" hidden="false" customHeight="false" outlineLevel="0" collapsed="false">
      <c r="A12" s="34" t="s">
        <v>240</v>
      </c>
      <c r="B12" s="39" t="n">
        <v>897400</v>
      </c>
      <c r="C12" s="39" t="n">
        <v>897400</v>
      </c>
      <c r="D12" s="39" t="n">
        <v>897400</v>
      </c>
      <c r="E12" s="39" t="n">
        <v>897400</v>
      </c>
      <c r="F12" s="39" t="n">
        <v>897400</v>
      </c>
    </row>
    <row r="13" customFormat="false" ht="15" hidden="false" customHeight="false" outlineLevel="0" collapsed="false">
      <c r="A13" s="34" t="s">
        <v>241</v>
      </c>
      <c r="B13" s="39" t="n">
        <v>615650</v>
      </c>
      <c r="C13" s="39" t="n">
        <v>615650</v>
      </c>
      <c r="D13" s="39" t="n">
        <v>615650</v>
      </c>
      <c r="E13" s="39" t="n">
        <v>615650</v>
      </c>
      <c r="F13" s="39" t="n">
        <v>615650</v>
      </c>
    </row>
    <row r="14" customFormat="false" ht="15" hidden="false" customHeight="false" outlineLevel="0" collapsed="false">
      <c r="A14" s="40" t="s">
        <v>242</v>
      </c>
      <c r="B14" s="41" t="n">
        <f aca="false">SUM(B5:B13)</f>
        <v>7851647</v>
      </c>
      <c r="C14" s="41" t="n">
        <f aca="false">SUM(C5:C13)</f>
        <v>7851647</v>
      </c>
      <c r="D14" s="41" t="n">
        <f aca="false">SUM(D5:D13)</f>
        <v>7851647</v>
      </c>
      <c r="E14" s="41" t="n">
        <f aca="false">SUM(E5:E13)</f>
        <v>7851647</v>
      </c>
      <c r="F14" s="41" t="n">
        <f aca="false">SUM(F5:F13)</f>
        <v>7851647</v>
      </c>
    </row>
    <row r="16" customFormat="false" ht="17.35" hidden="false" customHeight="false" outlineLevel="0" collapsed="false">
      <c r="A16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243</v>
      </c>
    </row>
    <row r="3" customFormat="false" ht="15" hidden="false" customHeight="false" outlineLevel="0" collapsed="false">
      <c r="A3" s="44" t="s">
        <v>244</v>
      </c>
      <c r="B3" s="45"/>
      <c r="C3" s="45"/>
      <c r="D3" s="45"/>
      <c r="E3" s="45"/>
      <c r="F3" s="45"/>
    </row>
    <row r="4" customFormat="false" ht="15" hidden="false" customHeight="false" outlineLevel="0" collapsed="false">
      <c r="A4" s="33" t="s">
        <v>147</v>
      </c>
      <c r="B4" s="33" t="s">
        <v>43</v>
      </c>
      <c r="C4" s="33" t="s">
        <v>44</v>
      </c>
      <c r="D4" s="33" t="s">
        <v>7</v>
      </c>
      <c r="E4" s="33" t="s">
        <v>45</v>
      </c>
      <c r="F4" s="33" t="s">
        <v>46</v>
      </c>
    </row>
    <row r="5" customFormat="false" ht="15" hidden="false" customHeight="false" outlineLevel="0" collapsed="false">
      <c r="A5" s="34" t="s">
        <v>245</v>
      </c>
      <c r="B5" s="39" t="n">
        <v>500000</v>
      </c>
      <c r="C5" s="39" t="n">
        <v>500000</v>
      </c>
      <c r="D5" s="39" t="n">
        <v>500000</v>
      </c>
      <c r="E5" s="39" t="n">
        <v>500000</v>
      </c>
      <c r="F5" s="39" t="n">
        <v>500000</v>
      </c>
    </row>
    <row r="6" customFormat="false" ht="15" hidden="false" customHeight="false" outlineLevel="0" collapsed="false">
      <c r="A6" s="34" t="s">
        <v>246</v>
      </c>
      <c r="B6" s="39" t="n">
        <v>200000</v>
      </c>
      <c r="C6" s="39" t="n">
        <v>200000</v>
      </c>
      <c r="D6" s="39" t="n">
        <v>200000</v>
      </c>
      <c r="E6" s="39" t="n">
        <v>200000</v>
      </c>
      <c r="F6" s="39" t="n">
        <v>200000</v>
      </c>
    </row>
    <row r="7" customFormat="false" ht="15" hidden="false" customHeight="false" outlineLevel="0" collapsed="false">
      <c r="A7" s="40" t="s">
        <v>247</v>
      </c>
      <c r="B7" s="41" t="n">
        <f aca="false">SUM(B5:B6)</f>
        <v>700000</v>
      </c>
      <c r="C7" s="41" t="n">
        <f aca="false">SUM(C5:C6)</f>
        <v>700000</v>
      </c>
      <c r="D7" s="41" t="n">
        <f aca="false">SUM(D5:D6)</f>
        <v>700000</v>
      </c>
      <c r="E7" s="41" t="n">
        <f aca="false">SUM(E5:E6)</f>
        <v>700000</v>
      </c>
      <c r="F7" s="41" t="n">
        <f aca="false">SUM(F5:F6)</f>
        <v>700000</v>
      </c>
    </row>
    <row r="9" customFormat="false" ht="15" hidden="false" customHeight="false" outlineLevel="0" collapsed="false">
      <c r="A9" s="44" t="s">
        <v>248</v>
      </c>
      <c r="B9" s="45"/>
      <c r="C9" s="45"/>
      <c r="D9" s="45"/>
      <c r="E9" s="45"/>
      <c r="F9" s="45"/>
    </row>
    <row r="10" customFormat="false" ht="15" hidden="false" customHeight="false" outlineLevel="0" collapsed="false">
      <c r="A10" s="33" t="s">
        <v>147</v>
      </c>
      <c r="B10" s="33" t="s">
        <v>43</v>
      </c>
      <c r="C10" s="33" t="s">
        <v>44</v>
      </c>
      <c r="D10" s="33" t="s">
        <v>7</v>
      </c>
      <c r="E10" s="33" t="s">
        <v>45</v>
      </c>
      <c r="F10" s="33" t="s">
        <v>46</v>
      </c>
    </row>
    <row r="11" customFormat="false" ht="15" hidden="false" customHeight="false" outlineLevel="0" collapsed="false">
      <c r="A11" s="34" t="s">
        <v>249</v>
      </c>
      <c r="B11" s="49" t="n">
        <f aca="false">'Operating Costs'!B14*0.1</f>
        <v>891400</v>
      </c>
      <c r="C11" s="49" t="n">
        <f aca="false">'Operating Costs'!C14*0.1</f>
        <v>944400</v>
      </c>
      <c r="D11" s="49" t="n">
        <f aca="false">'Operating Costs'!D14*0.1</f>
        <v>1084400</v>
      </c>
      <c r="E11" s="49" t="n">
        <f aca="false">'Operating Costs'!E14*0.1</f>
        <v>1364400</v>
      </c>
      <c r="F11" s="49" t="n">
        <f aca="false">'Operating Costs'!F14*0.1</f>
        <v>2189400</v>
      </c>
    </row>
    <row r="12" customFormat="false" ht="15" hidden="false" customHeight="false" outlineLevel="0" collapsed="false">
      <c r="A12" s="34" t="s">
        <v>250</v>
      </c>
      <c r="B12" s="49" t="n">
        <f aca="false">Implementation!B9*0.1</f>
        <v>150000</v>
      </c>
      <c r="C12" s="49" t="n">
        <f aca="false">Implementation!C9*0.1</f>
        <v>150000</v>
      </c>
      <c r="D12" s="49" t="n">
        <f aca="false">Implementation!D9*0.1</f>
        <v>150000</v>
      </c>
      <c r="E12" s="49" t="n">
        <f aca="false">Implementation!E9*0.1</f>
        <v>150000</v>
      </c>
      <c r="F12" s="49" t="n">
        <f aca="false">Implementation!F9*0.1</f>
        <v>150000</v>
      </c>
    </row>
    <row r="13" customFormat="false" ht="15" hidden="false" customHeight="false" outlineLevel="0" collapsed="false">
      <c r="A13" s="40" t="s">
        <v>251</v>
      </c>
      <c r="B13" s="41" t="n">
        <f aca="false">SUM(B11:B12)</f>
        <v>1041400</v>
      </c>
      <c r="C13" s="41" t="n">
        <f aca="false">SUM(C11:C12)</f>
        <v>1094400</v>
      </c>
      <c r="D13" s="41" t="n">
        <f aca="false">SUM(D11:D12)</f>
        <v>1234400</v>
      </c>
      <c r="E13" s="41" t="n">
        <f aca="false">SUM(E11:E12)</f>
        <v>1514400</v>
      </c>
      <c r="F13" s="41" t="n">
        <f aca="false">SUM(F11:F12)</f>
        <v>2339400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2" t="s">
        <v>252</v>
      </c>
    </row>
    <row r="3" customFormat="false" ht="15" hidden="false" customHeight="false" outlineLevel="0" collapsed="false">
      <c r="A3" s="42" t="s">
        <v>253</v>
      </c>
      <c r="B3" s="43"/>
      <c r="C3" s="43"/>
      <c r="D3" s="43"/>
      <c r="E3" s="43"/>
      <c r="F3" s="43"/>
    </row>
    <row r="5" customFormat="false" ht="15" hidden="false" customHeight="false" outlineLevel="0" collapsed="false">
      <c r="A5" s="33" t="s">
        <v>31</v>
      </c>
      <c r="B5" s="33" t="s">
        <v>43</v>
      </c>
      <c r="C5" s="33" t="s">
        <v>44</v>
      </c>
      <c r="D5" s="33" t="s">
        <v>7</v>
      </c>
      <c r="E5" s="33" t="s">
        <v>45</v>
      </c>
      <c r="F5" s="33" t="s">
        <v>46</v>
      </c>
    </row>
    <row r="6" customFormat="false" ht="15" hidden="false" customHeight="false" outlineLevel="0" collapsed="false">
      <c r="A6" s="36" t="s">
        <v>254</v>
      </c>
      <c r="B6" s="39" t="n">
        <v>21962400</v>
      </c>
      <c r="C6" s="39" t="n">
        <v>36604000</v>
      </c>
      <c r="D6" s="39" t="n">
        <v>73208000</v>
      </c>
      <c r="E6" s="39" t="n">
        <v>146416000</v>
      </c>
      <c r="F6" s="39" t="n">
        <v>366040000</v>
      </c>
    </row>
    <row r="7" customFormat="false" ht="15" hidden="false" customHeight="false" outlineLevel="0" collapsed="false">
      <c r="A7" s="52" t="s">
        <v>255</v>
      </c>
    </row>
    <row r="8" customFormat="false" ht="15" hidden="false" customHeight="false" outlineLevel="0" collapsed="false">
      <c r="A8" s="34" t="s">
        <v>256</v>
      </c>
      <c r="B8" s="49" t="n">
        <f aca="false">Manufacturing!B16</f>
        <v>6269700</v>
      </c>
      <c r="C8" s="49" t="n">
        <f aca="false">Manufacturing!C16</f>
        <v>10449500</v>
      </c>
      <c r="D8" s="49" t="n">
        <f aca="false">Manufacturing!D16</f>
        <v>17899000</v>
      </c>
      <c r="E8" s="49" t="n">
        <f aca="false">Manufacturing!E16</f>
        <v>35798000</v>
      </c>
      <c r="F8" s="49" t="n">
        <f aca="false">Manufacturing!F16</f>
        <v>77595000</v>
      </c>
    </row>
    <row r="9" customFormat="false" ht="15" hidden="false" customHeight="false" outlineLevel="0" collapsed="false">
      <c r="A9" s="34" t="s">
        <v>257</v>
      </c>
      <c r="B9" s="49" t="n">
        <f aca="false">'Operating Costs'!B14*0.2</f>
        <v>1782800</v>
      </c>
      <c r="C9" s="49" t="n">
        <f aca="false">'Operating Costs'!C14*0.2</f>
        <v>1888800</v>
      </c>
      <c r="D9" s="49" t="n">
        <f aca="false">'Operating Costs'!D14*0.2</f>
        <v>2168800</v>
      </c>
      <c r="E9" s="49" t="n">
        <f aca="false">'Operating Costs'!E14*0.2</f>
        <v>2728800</v>
      </c>
      <c r="F9" s="49" t="n">
        <f aca="false">'Operating Costs'!F14*0.2</f>
        <v>4378800</v>
      </c>
    </row>
    <row r="10" customFormat="false" ht="15" hidden="false" customHeight="false" outlineLevel="0" collapsed="false">
      <c r="A10" s="34" t="s">
        <v>258</v>
      </c>
      <c r="B10" s="49" t="n">
        <f aca="false">Implementation!B9</f>
        <v>1500000</v>
      </c>
      <c r="C10" s="49" t="n">
        <f aca="false">Implementation!C9</f>
        <v>1500000</v>
      </c>
      <c r="D10" s="49" t="n">
        <f aca="false">Implementation!D9</f>
        <v>1500000</v>
      </c>
      <c r="E10" s="49" t="n">
        <f aca="false">Implementation!E9</f>
        <v>1500000</v>
      </c>
      <c r="F10" s="49" t="n">
        <f aca="false">Implementation!F9</f>
        <v>1500000</v>
      </c>
    </row>
    <row r="11" customFormat="false" ht="15" hidden="false" customHeight="false" outlineLevel="0" collapsed="false">
      <c r="A11" s="34" t="s">
        <v>259</v>
      </c>
      <c r="B11" s="49" t="n">
        <f aca="false">Equipment!B11</f>
        <v>1099000</v>
      </c>
      <c r="C11" s="49" t="n">
        <f aca="false">Equipment!C11</f>
        <v>1290000</v>
      </c>
      <c r="D11" s="49" t="n">
        <f aca="false">Equipment!D11</f>
        <v>1965000</v>
      </c>
      <c r="E11" s="49" t="n">
        <f aca="false">Equipment!E11</f>
        <v>3210000</v>
      </c>
      <c r="F11" s="49" t="n">
        <f aca="false">Equipment!F11</f>
        <v>6545000</v>
      </c>
    </row>
    <row r="12" customFormat="false" ht="15" hidden="false" customHeight="false" outlineLevel="0" collapsed="false">
      <c r="A12" s="34" t="s">
        <v>260</v>
      </c>
      <c r="B12" s="49" t="n">
        <f aca="false">Development!B14</f>
        <v>7851647</v>
      </c>
      <c r="C12" s="49" t="n">
        <f aca="false">Development!C14</f>
        <v>7851647</v>
      </c>
      <c r="D12" s="49" t="n">
        <f aca="false">Development!D14</f>
        <v>7851647</v>
      </c>
      <c r="E12" s="49" t="n">
        <f aca="false">Development!E14</f>
        <v>7851647</v>
      </c>
      <c r="F12" s="49" t="n">
        <f aca="false">Development!F14</f>
        <v>7851647</v>
      </c>
    </row>
    <row r="13" customFormat="false" ht="15" hidden="false" customHeight="false" outlineLevel="0" collapsed="false">
      <c r="A13" s="34" t="s">
        <v>62</v>
      </c>
      <c r="B13" s="49" t="n">
        <f aca="false">Financing!B7</f>
        <v>700000</v>
      </c>
      <c r="C13" s="49" t="n">
        <f aca="false">Financing!C7</f>
        <v>700000</v>
      </c>
      <c r="D13" s="49" t="n">
        <f aca="false">Financing!D7</f>
        <v>700000</v>
      </c>
      <c r="E13" s="49" t="n">
        <f aca="false">Financing!E7</f>
        <v>700000</v>
      </c>
      <c r="F13" s="49" t="n">
        <f aca="false">Financing!F7</f>
        <v>700000</v>
      </c>
    </row>
    <row r="14" customFormat="false" ht="15" hidden="false" customHeight="false" outlineLevel="0" collapsed="false">
      <c r="A14" s="34" t="s">
        <v>261</v>
      </c>
      <c r="B14" s="49" t="n">
        <f aca="false">Financing!B13*0.2</f>
        <v>208280</v>
      </c>
      <c r="C14" s="49" t="n">
        <f aca="false">Financing!C13*0.2</f>
        <v>218880</v>
      </c>
      <c r="D14" s="49" t="n">
        <f aca="false">Financing!D13*0.2</f>
        <v>246880</v>
      </c>
      <c r="E14" s="49" t="n">
        <f aca="false">Financing!E13*0.2</f>
        <v>302880</v>
      </c>
      <c r="F14" s="49" t="n">
        <f aca="false">Financing!F13*0.2</f>
        <v>467880</v>
      </c>
    </row>
    <row r="15" customFormat="false" ht="15" hidden="false" customHeight="false" outlineLevel="0" collapsed="false">
      <c r="A15" s="44" t="s">
        <v>262</v>
      </c>
      <c r="B15" s="53" t="n">
        <f aca="false">SUM(B8:B14)</f>
        <v>19411427</v>
      </c>
      <c r="C15" s="53" t="n">
        <f aca="false">SUM(C8:C14)</f>
        <v>23898827</v>
      </c>
      <c r="D15" s="53" t="n">
        <f aca="false">SUM(D8:D14)</f>
        <v>32331327</v>
      </c>
      <c r="E15" s="53" t="n">
        <f aca="false">SUM(E8:E14)</f>
        <v>52091327</v>
      </c>
      <c r="F15" s="53" t="n">
        <f aca="false">SUM(F8:F14)</f>
        <v>99038327</v>
      </c>
    </row>
    <row r="16" customFormat="false" ht="15" hidden="false" customHeight="false" outlineLevel="0" collapsed="false">
      <c r="A16" s="40" t="s">
        <v>263</v>
      </c>
      <c r="B16" s="41" t="n">
        <f aca="false">B6-B15</f>
        <v>2550973</v>
      </c>
      <c r="C16" s="41" t="n">
        <f aca="false">C6-C15</f>
        <v>12705173</v>
      </c>
      <c r="D16" s="41" t="n">
        <f aca="false">D6-D15</f>
        <v>40876673</v>
      </c>
      <c r="E16" s="41" t="n">
        <f aca="false">E6-E15</f>
        <v>94324673</v>
      </c>
      <c r="F16" s="41" t="n">
        <f aca="false">F6-F15</f>
        <v>267001673</v>
      </c>
    </row>
    <row r="17" customFormat="false" ht="15" hidden="false" customHeight="false" outlineLevel="0" collapsed="false">
      <c r="A17" s="34" t="s">
        <v>264</v>
      </c>
      <c r="B17" s="54" t="n">
        <f aca="false">IF(B6&gt;0,B16/B6,0)</f>
        <v>0.116151832222344</v>
      </c>
      <c r="C17" s="54" t="n">
        <f aca="false">IF(C6&gt;0,C16/C6,0)</f>
        <v>0.347097940115834</v>
      </c>
      <c r="D17" s="54" t="n">
        <f aca="false">IF(D6&gt;0,D16/D6,0)</f>
        <v>0.558363471205333</v>
      </c>
      <c r="E17" s="54" t="n">
        <f aca="false">IF(E6&gt;0,E16/E6,0)</f>
        <v>0.644223807507376</v>
      </c>
      <c r="F17" s="54" t="n">
        <f aca="false">IF(F6&gt;0,F16/F6,0)</f>
        <v>0.729433048300732</v>
      </c>
    </row>
    <row r="19" customFormat="false" ht="15" hidden="false" customHeight="false" outlineLevel="0" collapsed="false">
      <c r="A19" s="42" t="s">
        <v>265</v>
      </c>
      <c r="B19" s="43"/>
      <c r="C19" s="43"/>
      <c r="D19" s="43"/>
      <c r="E19" s="43"/>
      <c r="F19" s="43"/>
    </row>
    <row r="21" customFormat="false" ht="15" hidden="false" customHeight="false" outlineLevel="0" collapsed="false">
      <c r="A21" s="33" t="s">
        <v>31</v>
      </c>
      <c r="B21" s="33" t="s">
        <v>43</v>
      </c>
      <c r="C21" s="33" t="s">
        <v>44</v>
      </c>
      <c r="D21" s="33" t="s">
        <v>7</v>
      </c>
      <c r="E21" s="33" t="s">
        <v>45</v>
      </c>
      <c r="F21" s="33" t="s">
        <v>46</v>
      </c>
    </row>
    <row r="22" customFormat="false" ht="15" hidden="false" customHeight="false" outlineLevel="0" collapsed="false">
      <c r="A22" s="34" t="s">
        <v>266</v>
      </c>
      <c r="B22" s="49" t="n">
        <f aca="false">Revenue!B34</f>
        <v>101412000</v>
      </c>
      <c r="C22" s="49" t="n">
        <f aca="false">Revenue!C34</f>
        <v>169020000</v>
      </c>
      <c r="D22" s="49" t="n">
        <f aca="false">Revenue!D34</f>
        <v>338040000</v>
      </c>
      <c r="E22" s="49" t="n">
        <f aca="false">Revenue!E34</f>
        <v>676080000</v>
      </c>
      <c r="F22" s="49" t="n">
        <f aca="false">Revenue!F34</f>
        <v>1690200000</v>
      </c>
    </row>
    <row r="23" customFormat="false" ht="15" hidden="false" customHeight="false" outlineLevel="0" collapsed="false">
      <c r="A23" s="34" t="s">
        <v>267</v>
      </c>
      <c r="B23" s="49" t="n">
        <f aca="false">Manufacturing!B16+'Operating Costs'!B14+Implementation!B9+Equipment!B11+Development!B14+Financing!B7+Financing!B13</f>
        <v>27375747</v>
      </c>
      <c r="C23" s="49" t="n">
        <f aca="false">Manufacturing!C16+'Operating Costs'!C14+Implementation!C9+Equipment!C11+Development!C14+Financing!C7+Financing!C13</f>
        <v>32329547</v>
      </c>
      <c r="D23" s="49" t="n">
        <f aca="false">Manufacturing!D16+'Operating Costs'!D14+Implementation!D9+Equipment!D11+Development!D14+Financing!D7+Financing!D13</f>
        <v>41994047</v>
      </c>
      <c r="E23" s="49" t="n">
        <f aca="false">Manufacturing!E16+'Operating Costs'!E14+Implementation!E9+Equipment!E11+Development!E14+Financing!E7+Financing!E13</f>
        <v>64218047</v>
      </c>
      <c r="F23" s="49" t="n">
        <f aca="false">Manufacturing!F16+'Operating Costs'!F14+Implementation!F9+Equipment!F11+Development!F14+Financing!F7+Financing!F13</f>
        <v>118425047</v>
      </c>
    </row>
    <row r="24" customFormat="false" ht="15" hidden="false" customHeight="false" outlineLevel="0" collapsed="false">
      <c r="A24" s="40" t="s">
        <v>268</v>
      </c>
      <c r="B24" s="41" t="n">
        <f aca="false">B22-B23</f>
        <v>74036253</v>
      </c>
      <c r="C24" s="41" t="n">
        <f aca="false">C22-C23</f>
        <v>136690453</v>
      </c>
      <c r="D24" s="41" t="n">
        <f aca="false">D22-D23</f>
        <v>296045953</v>
      </c>
      <c r="E24" s="41" t="n">
        <f aca="false">E22-E23</f>
        <v>611861953</v>
      </c>
      <c r="F24" s="41" t="n">
        <f aca="false">F22-F23</f>
        <v>1571774953</v>
      </c>
    </row>
    <row r="25" customFormat="false" ht="15" hidden="false" customHeight="false" outlineLevel="0" collapsed="false">
      <c r="A25" s="34" t="s">
        <v>269</v>
      </c>
      <c r="B25" s="54" t="n">
        <f aca="false">IF(B23&gt;0,B24/B23,0)</f>
        <v>2.70444685947748</v>
      </c>
      <c r="C25" s="54" t="n">
        <f aca="false">IF(C23&gt;0,C24/C23,0)</f>
        <v>4.22803489946828</v>
      </c>
      <c r="D25" s="54" t="n">
        <f aca="false">IF(D23&gt;0,D24/D23,0)</f>
        <v>7.04971237947131</v>
      </c>
      <c r="E25" s="54" t="n">
        <f aca="false">IF(E23&gt;0,E24/E23,0)</f>
        <v>9.52788167164287</v>
      </c>
      <c r="F25" s="54" t="n">
        <f aca="false">IF(F23&gt;0,F24/F23,0)</f>
        <v>13.2723185915223</v>
      </c>
    </row>
    <row r="26" customFormat="false" ht="15" hidden="false" customHeight="false" outlineLevel="0" collapsed="false">
      <c r="A26" s="34" t="s">
        <v>270</v>
      </c>
      <c r="B26" s="54" t="n">
        <f aca="false">IF(B22&gt;0,B24/B22,0)</f>
        <v>0.730054165187552</v>
      </c>
      <c r="C26" s="54" t="n">
        <f aca="false">IF(C22&gt;0,C24/C22,0)</f>
        <v>0.808723541592711</v>
      </c>
      <c r="D26" s="54" t="n">
        <f aca="false">IF(D22&gt;0,D24/D22,0)</f>
        <v>0.87577195893977</v>
      </c>
      <c r="E26" s="54" t="n">
        <f aca="false">IF(E22&gt;0,E24/E22,0)</f>
        <v>0.905014129984617</v>
      </c>
      <c r="F26" s="54" t="n">
        <f aca="false">IF(F22&gt;0,F24/F22,0)</f>
        <v>0.929934299491184</v>
      </c>
    </row>
    <row r="27" customFormat="false" ht="15" hidden="false" customHeight="false" outlineLevel="0" collapsed="false">
      <c r="A27" s="34" t="s">
        <v>271</v>
      </c>
      <c r="B27" s="55" t="n">
        <v>7.6</v>
      </c>
      <c r="C27" s="55" t="n">
        <v>7.2</v>
      </c>
      <c r="D27" s="55" t="n">
        <v>4.2</v>
      </c>
      <c r="E27" s="55" t="n">
        <v>3.9</v>
      </c>
      <c r="F27" s="55" t="n">
        <v>3.5</v>
      </c>
    </row>
    <row r="28" customFormat="false" ht="15" hidden="false" customHeight="false" outlineLevel="0" collapsed="false">
      <c r="A28" s="34" t="s">
        <v>272</v>
      </c>
      <c r="B28" s="39" t="n">
        <v>65500000</v>
      </c>
      <c r="C28" s="39" t="n">
        <v>119300000</v>
      </c>
      <c r="D28" s="39" t="n">
        <v>259647182</v>
      </c>
      <c r="E28" s="39" t="n">
        <v>538200000</v>
      </c>
      <c r="F28" s="39" t="n">
        <v>1390000000</v>
      </c>
    </row>
    <row r="30" customFormat="false" ht="15" hidden="false" customHeight="false" outlineLevel="0" collapsed="false">
      <c r="A30" s="42" t="s">
        <v>273</v>
      </c>
      <c r="B30" s="43"/>
      <c r="C30" s="43"/>
      <c r="D30" s="43"/>
      <c r="E30" s="43"/>
      <c r="F30" s="43"/>
    </row>
    <row r="32" customFormat="false" ht="15" hidden="false" customHeight="false" outlineLevel="0" collapsed="false">
      <c r="A32" s="33" t="s">
        <v>274</v>
      </c>
      <c r="B32" s="33" t="s">
        <v>43</v>
      </c>
      <c r="C32" s="33" t="s">
        <v>44</v>
      </c>
      <c r="D32" s="33" t="s">
        <v>7</v>
      </c>
      <c r="E32" s="33" t="s">
        <v>45</v>
      </c>
      <c r="F32" s="33" t="s">
        <v>46</v>
      </c>
    </row>
    <row r="33" customFormat="false" ht="15" hidden="false" customHeight="false" outlineLevel="0" collapsed="false">
      <c r="A33" s="34" t="s">
        <v>57</v>
      </c>
      <c r="B33" s="49" t="n">
        <f aca="false">Manufacturing!B16</f>
        <v>6269700</v>
      </c>
      <c r="C33" s="49" t="n">
        <f aca="false">Manufacturing!C16</f>
        <v>10449500</v>
      </c>
      <c r="D33" s="49" t="n">
        <f aca="false">Manufacturing!D16</f>
        <v>17899000</v>
      </c>
      <c r="E33" s="49" t="n">
        <f aca="false">Manufacturing!E16</f>
        <v>35798000</v>
      </c>
      <c r="F33" s="49" t="n">
        <f aca="false">Manufacturing!F16</f>
        <v>77595000</v>
      </c>
    </row>
    <row r="34" customFormat="false" ht="15" hidden="false" customHeight="false" outlineLevel="0" collapsed="false">
      <c r="A34" s="34" t="s">
        <v>275</v>
      </c>
      <c r="B34" s="49" t="n">
        <f aca="false">'Operating Costs'!B14</f>
        <v>8914000</v>
      </c>
      <c r="C34" s="49" t="n">
        <f aca="false">'Operating Costs'!C14</f>
        <v>9444000</v>
      </c>
      <c r="D34" s="49" t="n">
        <f aca="false">'Operating Costs'!D14</f>
        <v>10844000</v>
      </c>
      <c r="E34" s="49" t="n">
        <f aca="false">'Operating Costs'!E14</f>
        <v>13644000</v>
      </c>
      <c r="F34" s="49" t="n">
        <f aca="false">'Operating Costs'!F14</f>
        <v>21894000</v>
      </c>
    </row>
    <row r="35" customFormat="false" ht="15" hidden="false" customHeight="false" outlineLevel="0" collapsed="false">
      <c r="A35" s="34" t="s">
        <v>59</v>
      </c>
      <c r="B35" s="49" t="n">
        <f aca="false">Implementation!B9</f>
        <v>1500000</v>
      </c>
      <c r="C35" s="49" t="n">
        <f aca="false">Implementation!C9</f>
        <v>1500000</v>
      </c>
      <c r="D35" s="49" t="n">
        <f aca="false">Implementation!D9</f>
        <v>1500000</v>
      </c>
      <c r="E35" s="49" t="n">
        <f aca="false">Implementation!E9</f>
        <v>1500000</v>
      </c>
      <c r="F35" s="49" t="n">
        <f aca="false">Implementation!F9</f>
        <v>1500000</v>
      </c>
    </row>
    <row r="36" customFormat="false" ht="15" hidden="false" customHeight="false" outlineLevel="0" collapsed="false">
      <c r="A36" s="34" t="s">
        <v>60</v>
      </c>
      <c r="B36" s="49" t="n">
        <f aca="false">Equipment!B11</f>
        <v>1099000</v>
      </c>
      <c r="C36" s="49" t="n">
        <f aca="false">Equipment!C11</f>
        <v>1290000</v>
      </c>
      <c r="D36" s="49" t="n">
        <f aca="false">Equipment!D11</f>
        <v>1965000</v>
      </c>
      <c r="E36" s="49" t="n">
        <f aca="false">Equipment!E11</f>
        <v>3210000</v>
      </c>
      <c r="F36" s="49" t="n">
        <f aca="false">Equipment!F11</f>
        <v>6545000</v>
      </c>
    </row>
    <row r="37" customFormat="false" ht="15" hidden="false" customHeight="false" outlineLevel="0" collapsed="false">
      <c r="A37" s="34" t="s">
        <v>61</v>
      </c>
      <c r="B37" s="49" t="n">
        <f aca="false">Development!B14</f>
        <v>7851647</v>
      </c>
      <c r="C37" s="49" t="n">
        <f aca="false">Development!C14</f>
        <v>7851647</v>
      </c>
      <c r="D37" s="49" t="n">
        <f aca="false">Development!D14</f>
        <v>7851647</v>
      </c>
      <c r="E37" s="49" t="n">
        <f aca="false">Development!E14</f>
        <v>7851647</v>
      </c>
      <c r="F37" s="49" t="n">
        <f aca="false">Development!F14</f>
        <v>7851647</v>
      </c>
    </row>
    <row r="38" customFormat="false" ht="15" hidden="false" customHeight="false" outlineLevel="0" collapsed="false">
      <c r="A38" s="34" t="s">
        <v>62</v>
      </c>
      <c r="B38" s="49" t="n">
        <f aca="false">Financing!B7</f>
        <v>700000</v>
      </c>
      <c r="C38" s="49" t="n">
        <f aca="false">Financing!C7</f>
        <v>700000</v>
      </c>
      <c r="D38" s="49" t="n">
        <f aca="false">Financing!D7</f>
        <v>700000</v>
      </c>
      <c r="E38" s="49" t="n">
        <f aca="false">Financing!E7</f>
        <v>700000</v>
      </c>
      <c r="F38" s="49" t="n">
        <f aca="false">Financing!F7</f>
        <v>700000</v>
      </c>
    </row>
    <row r="39" customFormat="false" ht="15" hidden="false" customHeight="false" outlineLevel="0" collapsed="false">
      <c r="A39" s="34" t="s">
        <v>63</v>
      </c>
      <c r="B39" s="49" t="n">
        <f aca="false">Financing!B13</f>
        <v>1041400</v>
      </c>
      <c r="C39" s="49" t="n">
        <f aca="false">Financing!C13</f>
        <v>1094400</v>
      </c>
      <c r="D39" s="49" t="n">
        <f aca="false">Financing!D13</f>
        <v>1234400</v>
      </c>
      <c r="E39" s="49" t="n">
        <f aca="false">Financing!E13</f>
        <v>1514400</v>
      </c>
      <c r="F39" s="49" t="n">
        <f aca="false">Financing!F13</f>
        <v>2339400</v>
      </c>
    </row>
    <row r="40" customFormat="false" ht="15" hidden="false" customHeight="false" outlineLevel="0" collapsed="false">
      <c r="A40" s="40" t="s">
        <v>276</v>
      </c>
      <c r="B40" s="41" t="n">
        <f aca="false">SUM(B33:B39)</f>
        <v>27375747</v>
      </c>
      <c r="C40" s="41" t="n">
        <f aca="false">SUM(C33:C39)</f>
        <v>32329547</v>
      </c>
      <c r="D40" s="41" t="n">
        <f aca="false">SUM(D33:D39)</f>
        <v>41994047</v>
      </c>
      <c r="E40" s="41" t="n">
        <f aca="false">SUM(E33:E39)</f>
        <v>64218047</v>
      </c>
      <c r="F40" s="41" t="n">
        <f aca="false">SUM(F33:F39)</f>
        <v>118425047</v>
      </c>
    </row>
    <row r="42" customFormat="false" ht="17.35" hidden="false" customHeight="false" outlineLevel="0" collapsed="false">
      <c r="A42" s="3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2026-03-06T15:29:57Z</dcterms:created>
  <dc:creator>openpyxl</dc:creator>
  <dc:description/>
  <dc:language>en-US</dc:language>
  <cp:lastModifiedBy/>
  <dcterms:modified xsi:type="dcterms:W3CDTF">2026-03-06T15:29:57Z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