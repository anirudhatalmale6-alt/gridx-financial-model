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venue" sheetId="2" state="visible" r:id="rId4"/>
    <sheet name="Personnel Cost" sheetId="3" state="visible" r:id="rId5"/>
    <sheet name="Infrastructure &amp; Equipment" sheetId="4" state="visible" r:id="rId6"/>
    <sheet name="Manufacturing Cost" sheetId="5" state="visible" r:id="rId7"/>
    <sheet name="Profitability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<sst xmlns="http://schemas.openxmlformats.org/spreadsheetml/2006/main" count="338" uniqueCount="204">
  <si>
    <t xml:space="preserve">GRIDx Smart Meter  -  5-Year Financial Model</t>
  </si>
  <si>
    <t xml:space="preserve">Scenarios: 3,000  |  5,000  |  10,000  |  20,000  |  50,000 Meters  |  Currency: N$ (Namibian Dollar)</t>
  </si>
  <si>
    <t xml:space="preserve">SELECT SCENARIO</t>
  </si>
  <si>
    <t xml:space="preserve">5-Year Revenue</t>
  </si>
  <si>
    <t xml:space="preserve">5-Year Net Profit</t>
  </si>
  <si>
    <t xml:space="preserve">Gross Margin</t>
  </si>
  <si>
    <t xml:space="preserve">Payback Period</t>
  </si>
  <si>
    <t xml:space="preserve">10,000 Meters</t>
  </si>
  <si>
    <t xml:space="preserve">INPUT PARAMETERS</t>
  </si>
  <si>
    <t xml:space="preserve">Meters:</t>
  </si>
  <si>
    <t xml:space="preserve">units</t>
  </si>
  <si>
    <t xml:space="preserve">Hardware:</t>
  </si>
  <si>
    <t xml:space="preserve">N$5,500</t>
  </si>
  <si>
    <t xml:space="preserve">one-time/unit</t>
  </si>
  <si>
    <t xml:space="preserve">Installation:</t>
  </si>
  <si>
    <t xml:space="preserve">N$700</t>
  </si>
  <si>
    <t xml:space="preserve">Mfg Cost/Meter:</t>
  </si>
  <si>
    <t xml:space="preserve">per unit</t>
  </si>
  <si>
    <t xml:space="preserve">Personnel Cost:</t>
  </si>
  <si>
    <t xml:space="preserve">/year</t>
  </si>
  <si>
    <t xml:space="preserve">Infrastructure:</t>
  </si>
  <si>
    <t xml:space="preserve">Service Revenue:</t>
  </si>
  <si>
    <t xml:space="preserve">5-YEAR FINANCIAL SUMMARY</t>
  </si>
  <si>
    <t xml:space="preserve">Total Revenue:</t>
  </si>
  <si>
    <t xml:space="preserve">Total Costs:</t>
  </si>
  <si>
    <t xml:space="preserve">Net Profit:</t>
  </si>
  <si>
    <t xml:space="preserve">ROI:</t>
  </si>
  <si>
    <t xml:space="preserve">PROFIT MARGINS</t>
  </si>
  <si>
    <t xml:space="preserve">Gross Margin:</t>
  </si>
  <si>
    <t xml:space="preserve">Operating Margin:</t>
  </si>
  <si>
    <t xml:space="preserve">Net Margin:</t>
  </si>
  <si>
    <t xml:space="preserve">COST ANALYSIS</t>
  </si>
  <si>
    <t xml:space="preserve">SCENARIO COMPARISON</t>
  </si>
  <si>
    <t xml:space="preserve">Metric</t>
  </si>
  <si>
    <t xml:space="preserve">3K</t>
  </si>
  <si>
    <t xml:space="preserve">5K</t>
  </si>
  <si>
    <t xml:space="preserve">10K</t>
  </si>
  <si>
    <t xml:space="preserve">20K</t>
  </si>
  <si>
    <t xml:space="preserve">50K</t>
  </si>
  <si>
    <t xml:space="preserve">5-Year Costs</t>
  </si>
  <si>
    <t xml:space="preserve">Net Profit</t>
  </si>
  <si>
    <t xml:space="preserve">Payback</t>
  </si>
  <si>
    <t xml:space="preserve">ROI</t>
  </si>
  <si>
    <t xml:space="preserve">SCENARIO ANALYSIS CHARTS</t>
  </si>
  <si>
    <t xml:space="preserve">GRIDx Smart Energy Solutions  |  Confidential Financial Model  |  All figures in Namibian Dollars (N$)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</si>
  <si>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</si>
  <si>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</si>
  <si>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</si>
  <si>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</si>
  <si>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</si>
  <si>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</si>
  <si>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</si>
  <si>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</si>
  <si>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</si>
  <si>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</si>
  <si>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Total Costs</t>
  </si>
  <si>
    <t xml:space="preserve">Cum Revenue</t>
  </si>
  <si>
    <t xml:space="preserve">Cum Profit</t>
  </si>
  <si>
    <t xml:space="preserve">Operating</t>
  </si>
  <si>
    <t xml:space="preserve">Manufacturing</t>
  </si>
  <si>
    <t xml:space="preserve">Equipment</t>
  </si>
  <si>
    <t xml:space="preserve">Operating Margin</t>
  </si>
  <si>
    <t xml:space="preserve">Net Margin</t>
  </si>
  <si>
    <t xml:space="preserve">Data Storage &amp; Transmission</t>
  </si>
  <si>
    <t xml:space="preserve">Office Space Rental</t>
  </si>
  <si>
    <t xml:space="preserve">Utilities &amp; Connectivity</t>
  </si>
  <si>
    <t xml:space="preserve">Personnel</t>
  </si>
  <si>
    <t xml:space="preserve">Revenue Model Assumptions</t>
  </si>
  <si>
    <t xml:space="preserve">Revenue Stream</t>
  </si>
  <si>
    <t xml:space="preserve">Rate</t>
  </si>
  <si>
    <t xml:space="preserve">Adoption Rate</t>
  </si>
  <si>
    <t xml:space="preserve">Calculation Basis</t>
  </si>
  <si>
    <t xml:space="preserve">Annual Amount per Meter (N$)</t>
  </si>
  <si>
    <t xml:space="preserve">Meter Hardware Sale</t>
  </si>
  <si>
    <t xml:space="preserve">N$5,500 (one-time)</t>
  </si>
  <si>
    <t xml:space="preserve">100%</t>
  </si>
  <si>
    <t xml:space="preserve">One-time revenue per installed meter</t>
  </si>
  <si>
    <t xml:space="preserve">Meter Installation Fee</t>
  </si>
  <si>
    <t xml:space="preserve">N$700 (one-time)</t>
  </si>
  <si>
    <t xml:space="preserve">One-time fee per new meter installation</t>
  </si>
  <si>
    <t xml:space="preserve">Meter Maintenance</t>
  </si>
  <si>
    <t xml:space="preserve">N$500 / year</t>
  </si>
  <si>
    <t xml:space="preserve">5%</t>
  </si>
  <si>
    <t xml:space="preserve">Annual maintenance fee on installed meters</t>
  </si>
  <si>
    <t xml:space="preserve">Wi-Fi Subscription</t>
  </si>
  <si>
    <t xml:space="preserve">N$25 / month</t>
  </si>
  <si>
    <t xml:space="preserve">30%</t>
  </si>
  <si>
    <t xml:space="preserve">Recurring</t>
  </si>
  <si>
    <t xml:space="preserve">SMS Notifications</t>
  </si>
  <si>
    <t xml:space="preserve">N$2.50 / SMS</t>
  </si>
  <si>
    <t xml:space="preserve">50%, 2 SMS/month</t>
  </si>
  <si>
    <t xml:space="preserve">Mobile App Subscription</t>
  </si>
  <si>
    <t xml:space="preserve">N$65 / month</t>
  </si>
  <si>
    <t xml:space="preserve">80%</t>
  </si>
  <si>
    <t xml:space="preserve">Real Estate Management Platform</t>
  </si>
  <si>
    <t xml:space="preserve">N$3,200 / block / month</t>
  </si>
  <si>
    <t xml:space="preserve">1 block per 500 meters</t>
  </si>
  <si>
    <t xml:space="preserve">Total Year 1 Revenue per Meter</t>
  </si>
  <si>
    <t xml:space="preserve">Revenue by Year</t>
  </si>
  <si>
    <t xml:space="preserve">Year</t>
  </si>
  <si>
    <t xml:space="preserve">5-Year Total</t>
  </si>
  <si>
    <t xml:space="preserve">VISUAL ANALYSIS</t>
  </si>
  <si>
    <t xml:space="preserve">Resource Type</t>
  </si>
  <si>
    <t xml:space="preserve">Position</t>
  </si>
  <si>
    <t xml:space="preserve">Monthly Salary (N$)</t>
  </si>
  <si>
    <t xml:space="preserve">Annual Salary (N$)</t>
  </si>
  <si>
    <t xml:space="preserve">LEADERSHIP &amp; MANAGEMENT</t>
  </si>
  <si>
    <t xml:space="preserve">Chief Executive Officer (CEO)</t>
  </si>
  <si>
    <t xml:space="preserve">Chief Operations Officer (COO)</t>
  </si>
  <si>
    <t xml:space="preserve">Chief Financial Officer (CFO)</t>
  </si>
  <si>
    <t xml:space="preserve">Chief Technology Officer (CTO)</t>
  </si>
  <si>
    <t xml:space="preserve">Head of Business Development</t>
  </si>
  <si>
    <t xml:space="preserve">Head of Human Resources</t>
  </si>
  <si>
    <t xml:space="preserve">Legal &amp; Compliance Officer</t>
  </si>
  <si>
    <t xml:space="preserve">OPERATIONS &amp; FIELD SERVICES</t>
  </si>
  <si>
    <t xml:space="preserve">Operations Manager</t>
  </si>
  <si>
    <t xml:space="preserve">Field Support Technicians</t>
  </si>
  <si>
    <t xml:space="preserve">Installation Team Lead</t>
  </si>
  <si>
    <t xml:space="preserve">Logistics Coordinator</t>
  </si>
  <si>
    <t xml:space="preserve">ENGINEERING &amp; QUALITY</t>
  </si>
  <si>
    <t xml:space="preserve">Engineering Manager</t>
  </si>
  <si>
    <t xml:space="preserve">Quality Assurance Engineers</t>
  </si>
  <si>
    <t xml:space="preserve">Firmware/Software Engineers</t>
  </si>
  <si>
    <t xml:space="preserve">Hardware Engineers</t>
  </si>
  <si>
    <t xml:space="preserve">CUSTOMER SUCCESS &amp; SUPPORT</t>
  </si>
  <si>
    <t xml:space="preserve">Customer Support Manager</t>
  </si>
  <si>
    <t xml:space="preserve">Customer Support Agents</t>
  </si>
  <si>
    <t xml:space="preserve">Technical Support Specialists</t>
  </si>
  <si>
    <t xml:space="preserve">SALES &amp; MARKETING</t>
  </si>
  <si>
    <t xml:space="preserve">Sales Manager</t>
  </si>
  <si>
    <t xml:space="preserve">Sales Representatives</t>
  </si>
  <si>
    <t xml:space="preserve">Marketing Coordinator</t>
  </si>
  <si>
    <t xml:space="preserve">FINANCE &amp; ADMINISTRATION</t>
  </si>
  <si>
    <t xml:space="preserve">Finance Manager</t>
  </si>
  <si>
    <t xml:space="preserve">Accountant</t>
  </si>
  <si>
    <t xml:space="preserve">Administrative Assistant</t>
  </si>
  <si>
    <t xml:space="preserve">TOTAL PERSONNEL</t>
  </si>
  <si>
    <t xml:space="preserve">ANNUAL PERSONNEL COST BY SCENARIO</t>
  </si>
  <si>
    <t xml:space="preserve">Unit Cost (N$/year)</t>
  </si>
  <si>
    <t xml:space="preserve">TOTAL ANNUAL PERSONNEL COST</t>
  </si>
  <si>
    <t xml:space="preserve">Infrastructure Costs (Annual)</t>
  </si>
  <si>
    <t xml:space="preserve">Cost Category</t>
  </si>
  <si>
    <t xml:space="preserve">Unit Cost</t>
  </si>
  <si>
    <t xml:space="preserve">N$48/meter</t>
  </si>
  <si>
    <t xml:space="preserve">N$200/sq m</t>
  </si>
  <si>
    <t xml:space="preserve">Lump sum</t>
  </si>
  <si>
    <t xml:space="preserve">Annual Infrastructure Total</t>
  </si>
  <si>
    <t xml:space="preserve">Equipment Costs (One-Time Investment)</t>
  </si>
  <si>
    <t xml:space="preserve">Equipment Type</t>
  </si>
  <si>
    <t xml:space="preserve">Service Vehicles</t>
  </si>
  <si>
    <t xml:space="preserve">N$250,000</t>
  </si>
  <si>
    <t xml:space="preserve">Field Test Equipment Kits</t>
  </si>
  <si>
    <t xml:space="preserve">N$85,000</t>
  </si>
  <si>
    <t xml:space="preserve">Spare Parts Inventory</t>
  </si>
  <si>
    <t xml:space="preserve">N$4,495 x 2%</t>
  </si>
  <si>
    <t xml:space="preserve">Workstations</t>
  </si>
  <si>
    <t xml:space="preserve">N$15,000</t>
  </si>
  <si>
    <t xml:space="preserve">Network Monitoring Tools</t>
  </si>
  <si>
    <t xml:space="preserve">N$120,000</t>
  </si>
  <si>
    <t xml:space="preserve">Office Equipment &amp; Furniture</t>
  </si>
  <si>
    <t xml:space="preserve">Per employee</t>
  </si>
  <si>
    <t xml:space="preserve">Server/Cloud Infrastructure</t>
  </si>
  <si>
    <t xml:space="preserve">Total Equipment Investment</t>
  </si>
  <si>
    <t xml:space="preserve">Volume Discount Structure</t>
  </si>
  <si>
    <t xml:space="preserve">Volume Tier</t>
  </si>
  <si>
    <t xml:space="preserve">Discount</t>
  </si>
  <si>
    <t xml:space="preserve">Cost per Meter (N$)</t>
  </si>
  <si>
    <t xml:space="preserve">Base (0-9,999 meters)</t>
  </si>
  <si>
    <t xml:space="preserve">0%</t>
  </si>
  <si>
    <t xml:space="preserve">N$2,000 per meter</t>
  </si>
  <si>
    <t xml:space="preserve">10,000-19,999 meters</t>
  </si>
  <si>
    <t xml:space="preserve">15%</t>
  </si>
  <si>
    <t xml:space="preserve">15% reduction</t>
  </si>
  <si>
    <t xml:space="preserve">20,000-49,999 meters</t>
  </si>
  <si>
    <t xml:space="preserve">Additional 15%</t>
  </si>
  <si>
    <t xml:space="preserve">50,000+ meters</t>
  </si>
  <si>
    <t xml:space="preserve">45%</t>
  </si>
  <si>
    <t xml:space="preserve">Manufacturing Cost by Scenario</t>
  </si>
  <si>
    <t xml:space="preserve">Scenario</t>
  </si>
  <si>
    <t xml:space="preserve">Meters</t>
  </si>
  <si>
    <t xml:space="preserve">Total Manufacturing Cost (N$)</t>
  </si>
  <si>
    <t xml:space="preserve">Revenue &amp; Profitability Analysis (Year 1)</t>
  </si>
  <si>
    <t xml:space="preserve">REVENUE (N$)</t>
  </si>
  <si>
    <t xml:space="preserve">Hardware Sales</t>
  </si>
  <si>
    <t xml:space="preserve">Installation Fees</t>
  </si>
  <si>
    <t xml:space="preserve">Service Revenues</t>
  </si>
  <si>
    <t xml:space="preserve">Total Revenue</t>
  </si>
  <si>
    <t xml:space="preserve">MANUFACTURING COST (N$)</t>
  </si>
  <si>
    <t xml:space="preserve">Cost per Meter</t>
  </si>
  <si>
    <t xml:space="preserve">Total Manufacturing Cost</t>
  </si>
  <si>
    <t xml:space="preserve">OPERATING COSTS (N$)</t>
  </si>
  <si>
    <t xml:space="preserve">EQUIPMENT INVESTMENT (N$)</t>
  </si>
  <si>
    <t xml:space="preserve">PROFITABILITY (N$)</t>
  </si>
  <si>
    <t xml:space="preserve">Gross Profit</t>
  </si>
  <si>
    <t xml:space="preserve">Operating Profit (EBITDA)</t>
  </si>
  <si>
    <t xml:space="preserve">MARGINS</t>
  </si>
  <si>
    <t xml:space="preserve">Gross Margin %</t>
  </si>
  <si>
    <t xml:space="preserve">Operating Margin %</t>
  </si>
  <si>
    <t xml:space="preserve">Net Margin %</t>
  </si>
  <si>
    <t xml:space="preserve">5-YEAR PROJECTIONS</t>
  </si>
  <si>
    <t xml:space="preserve">5-Year Total Revenue</t>
  </si>
  <si>
    <t xml:space="preserve">5-Year Total Costs</t>
  </si>
  <si>
    <t xml:space="preserve">5-Year ROI %</t>
  </si>
  <si>
    <t xml:space="preserve">5-Year Net Margin 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</si>
</sst>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N$&quot;#,##0.0,,\M"/>
    <numFmt numFmtId="166" formatCode="0.0%"/>
    <numFmt numFmtId="167" formatCode="0&quot; days&quot;"/>
    <numFmt numFmtId="168" formatCode="0.0"/>
    <numFmt numFmtId="169" formatCode="0"/>
    <numFmt numFmtId="170" formatCode="&quot;N$&quot;#,##0.00"/>
    <numFmt numFmtId="171" formatCode="&quot;N$&quot;#,##0"/>
    <numFmt numFmtId="172" formatCode="#,##0,,\M"/>
    <numFmt numFmtId="173" formatCode="#,##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9"/>
      <color rgb="FF94A3B8"/>
      <name val="Calibri"/>
      <family val="0"/>
      <charset val="1"/>
    </font>
    <font>
      <b val="true"/>
      <sz val="18"/>
      <color rgb="FF22C55E"/>
      <name val="Calibri"/>
      <family val="0"/>
      <charset val="1"/>
    </font>
    <font>
      <b val="true"/>
      <sz val="18"/>
      <color rgb="FFF59E0B"/>
      <name val="Calibri"/>
      <family val="0"/>
      <charset val="1"/>
    </font>
    <font>
      <b val="true"/>
      <sz val="18"/>
      <color rgb="FF3B82F6"/>
      <name val="Calibri"/>
      <family val="0"/>
      <charset val="1"/>
    </font>
    <font>
      <b val="true"/>
      <sz val="9"/>
      <color rgb="FF94A3B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3B82F6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22C55E"/>
      <name val="Calibri"/>
      <family val="0"/>
      <charset val="1"/>
    </font>
    <font>
      <sz val="8"/>
      <color rgb="FF94A3B8"/>
      <name val="Calibri"/>
      <family val="0"/>
      <charset val="1"/>
    </font>
    <font>
      <sz val="10"/>
      <color rgb="FFEF4444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i val="true"/>
      <sz val="8"/>
      <color rgb="FF94A3B8"/>
      <name val="Calibri"/>
      <family val="0"/>
      <charset val="1"/>
    </font>
    <font>
      <sz val="7"/>
      <color rgb="FF0F1B2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4472C4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B2D"/>
        <bgColor rgb="FF162236"/>
      </patternFill>
    </fill>
    <fill>
      <patternFill patternType="solid">
        <fgColor rgb="FF162236"/>
        <bgColor rgb="FF0F1B2D"/>
      </patternFill>
    </fill>
    <fill>
      <patternFill patternType="solid">
        <fgColor rgb="FF1E3A5F"/>
        <bgColor rgb="FF243B55"/>
      </patternFill>
    </fill>
    <fill>
      <patternFill patternType="solid">
        <fgColor rgb="FF3B82F6"/>
        <bgColor rgb="FF4472C4"/>
      </patternFill>
    </fill>
    <fill>
      <patternFill patternType="solid">
        <fgColor rgb="FF243B55"/>
        <bgColor rgb="FF1E3A5F"/>
      </patternFill>
    </fill>
    <fill>
      <patternFill patternType="solid">
        <fgColor rgb="FF1D2B42"/>
        <bgColor rgb="FF1B2A4A"/>
      </patternFill>
    </fill>
    <fill>
      <patternFill patternType="solid">
        <fgColor rgb="FF1B2A4A"/>
        <bgColor rgb="FF1D2B4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D3F59"/>
      </left>
      <right style="thin">
        <color rgb="FF2D3F59"/>
      </right>
      <top style="thin">
        <color rgb="FF2D3F59"/>
      </top>
      <bottom style="thin">
        <color rgb="FF2D3F5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8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B2A4A"/>
      <rgbColor rgb="FF70AD47"/>
      <rgbColor rgb="FF800080"/>
      <rgbColor rgb="FF4F81BD"/>
      <rgbColor rgb="FFC0C0C0"/>
      <rgbColor rgb="FF878787"/>
      <rgbColor rgb="FF5B9BD5"/>
      <rgbColor rgb="FFC0504D"/>
      <rgbColor rgb="FFFFF2CC"/>
      <rgbColor rgb="FFD6E4F0"/>
      <rgbColor rgb="FF660066"/>
      <rgbColor rgb="FFFF6384"/>
      <rgbColor rgb="FF4472C4"/>
      <rgbColor rgb="FFD9D9D9"/>
      <rgbColor rgb="FF243B55"/>
      <rgbColor rgb="FFFF00FF"/>
      <rgbColor rgb="FFFFFF00"/>
      <rgbColor rgb="FF00FFFF"/>
      <rgbColor rgb="FF800080"/>
      <rgbColor rgb="FF800000"/>
      <rgbColor rgb="FF2D3F59"/>
      <rgbColor rgb="FF0000FF"/>
      <rgbColor rgb="FF00CCFF"/>
      <rgbColor rgb="FFCCFFFF"/>
      <rgbColor rgb="FFE2EFDA"/>
      <rgbColor rgb="FFFFFF99"/>
      <rgbColor rgb="FF99CCFF"/>
      <rgbColor rgb="FFFF99CC"/>
      <rgbColor rgb="FF9966FF"/>
      <rgbColor rgb="FFFCE4D6"/>
      <rgbColor rgb="FF3B82F6"/>
      <rgbColor rgb="FF33CCCC"/>
      <rgbColor rgb="FF9BBB59"/>
      <rgbColor rgb="FFFFC000"/>
      <rgbColor rgb="FFF59E0B"/>
      <rgbColor rgb="FFED7D31"/>
      <rgbColor rgb="FF8064A2"/>
      <rgbColor rgb="FF94A3B8"/>
      <rgbColor rgb="FF002060"/>
      <rgbColor rgb="FF22C55E"/>
      <rgbColor rgb="FF0F1B2D"/>
      <rgbColor rgb="FF162236"/>
      <rgbColor rgb="FF993300"/>
      <rgbColor rgb="FFEF4444"/>
      <rgbColor rgb="FF1E3A5F"/>
      <rgbColor rgb="FF1D2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&amp; Profit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Dashboard!$C$111:$G$111</c:f>
              <c:numCache>
                <c:formatCode>General</c:formatCode>
                <c:ptCount val="5"/>
                <c:pt idx="0">
                  <c:v>70.458</c:v>
                </c:pt>
                <c:pt idx="1">
                  <c:v>8.458</c:v>
                </c:pt>
                <c:pt idx="2">
                  <c:v>8.458</c:v>
                </c:pt>
                <c:pt idx="3">
                  <c:v>8.458</c:v>
                </c:pt>
                <c:pt idx="4">
                  <c:v>8.458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Dashboard!$C$112:$G$112</c:f>
              <c:numCache>
                <c:formatCode>General</c:formatCode>
                <c:ptCount val="5"/>
                <c:pt idx="0">
                  <c:v>26.1598</c:v>
                </c:pt>
                <c:pt idx="1">
                  <c:v>5.9808</c:v>
                </c:pt>
                <c:pt idx="2">
                  <c:v>5.9808</c:v>
                </c:pt>
                <c:pt idx="3">
                  <c:v>5.9808</c:v>
                </c:pt>
                <c:pt idx="4">
                  <c:v>5.9808</c:v>
                </c:pt>
              </c:numCache>
            </c:numRef>
          </c:val>
        </c:ser>
        <c:gapWidth val="150"/>
        <c:overlap val="0"/>
        <c:axId val="17146359"/>
        <c:axId val="69180968"/>
      </c:barChart>
      <c:lineChart>
        <c:grouping val="standard"/>
        <c:varyColors val="0"/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Dashboard!$C$113:$G$113</c:f>
              <c:numCache>
                <c:formatCode>General</c:formatCode>
                <c:ptCount val="5"/>
                <c:pt idx="0">
                  <c:v>44.2982</c:v>
                </c:pt>
                <c:pt idx="1">
                  <c:v>2.4772</c:v>
                </c:pt>
                <c:pt idx="2">
                  <c:v>2.4772</c:v>
                </c:pt>
                <c:pt idx="3">
                  <c:v>2.4772</c:v>
                </c:pt>
                <c:pt idx="4">
                  <c:v>2.4772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146359"/>
        <c:axId val="69180968"/>
      </c:lineChart>
      <c:catAx>
        <c:axId val="17146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80968"/>
        <c:crosses val="autoZero"/>
        <c:auto val="1"/>
        <c:lblAlgn val="ctr"/>
        <c:lblOffset val="100"/>
        <c:noMultiLvlLbl val="0"/>
      </c:catAx>
      <c:valAx>
        <c:axId val="69180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46359"/>
        <c:crosses val="min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"Margins"</c:f>
              <c:strCache>
                <c:ptCount val="1"/>
                <c:pt idx="0">
                  <c:v>Margins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multiLvlStrRef>
              <c:f>Dashboard!$C$125:$E$125</c:f>
              <c:multiLvlStrCache>
                <c:ptCount val="1"/>
                <c:lvl>
                  <c:pt idx="0">
                    <c:v>Net Margin</c:v>
                  </c:pt>
                </c:lvl>
                <c:lvl>
                  <c:pt idx="0">
                    <c:v>Operating Margin</c:v>
                  </c:pt>
                </c:lvl>
                <c:lvl>
                  <c:pt idx="0">
                    <c:v>Gross Margin</c:v>
                  </c:pt>
                </c:lvl>
              </c:multiLvlStrCache>
            </c:multiLvlStrRef>
          </c:cat>
          <c:val>
            <c:numRef>
              <c:f>Dashboard!$C$126:$E$126</c:f>
              <c:numCache>
                <c:formatCode>General</c:formatCode>
                <c:ptCount val="3"/>
                <c:pt idx="0">
                  <c:v>0.758721507848647</c:v>
                </c:pt>
                <c:pt idx="1">
                  <c:v>0.673836895739306</c:v>
                </c:pt>
                <c:pt idx="2">
                  <c:v>0.673836895739306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"Cum Revenue"</c:f>
              <c:strCache>
                <c:ptCount val="1"/>
                <c:pt idx="0">
                  <c:v>Cum 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Dashboard!$C$114:$G$114</c:f>
              <c:numCache>
                <c:formatCode>General</c:formatCode>
                <c:ptCount val="5"/>
                <c:pt idx="0">
                  <c:v>70.458</c:v>
                </c:pt>
                <c:pt idx="1">
                  <c:v>78.916</c:v>
                </c:pt>
                <c:pt idx="2">
                  <c:v>87.374</c:v>
                </c:pt>
                <c:pt idx="3">
                  <c:v>95.832</c:v>
                </c:pt>
                <c:pt idx="4">
                  <c:v>104.29</c:v>
                </c:pt>
              </c:numCache>
            </c:numRef>
          </c:val>
        </c:ser>
        <c:ser>
          <c:idx val="1"/>
          <c:order val="1"/>
          <c:tx>
            <c:strRef>
              <c:f>"Cum Profit"</c:f>
              <c:strCache>
                <c:ptCount val="1"/>
                <c:pt idx="0">
                  <c:v>Cum Profit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Dashboard!$C$110:$G$110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Dashboard!$C$115:$G$115</c:f>
              <c:numCache>
                <c:formatCode>General</c:formatCode>
                <c:ptCount val="5"/>
                <c:pt idx="0">
                  <c:v>44.2982</c:v>
                </c:pt>
                <c:pt idx="1">
                  <c:v>46.7754</c:v>
                </c:pt>
                <c:pt idx="2">
                  <c:v>49.2526</c:v>
                </c:pt>
                <c:pt idx="3">
                  <c:v>51.7298</c:v>
                </c:pt>
                <c:pt idx="4">
                  <c:v>54.207</c:v>
                </c:pt>
              </c:numCache>
            </c:numRef>
          </c:val>
        </c:ser>
        <c:gapWidth val="150"/>
        <c:overlap val="0"/>
        <c:axId val="29279760"/>
        <c:axId val="45311391"/>
      </c:barChart>
      <c:catAx>
        <c:axId val="292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11391"/>
        <c:crosses val="autoZero"/>
        <c:auto val="1"/>
        <c:lblAlgn val="ctr"/>
        <c:lblOffset val="100"/>
        <c:noMultiLvlLbl val="0"/>
      </c:catAx>
      <c:valAx>
        <c:axId val="45311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97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 1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"Y1 Breakdown"</c:f>
              <c:strCache>
                <c:ptCount val="1"/>
                <c:pt idx="0">
                  <c:v>Y1 Breakdown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multiLvlStrRef>
              <c:f>Dashboard!$C$120:$F$120</c:f>
              <c:multiLvlStrCache>
                <c:ptCount val="1"/>
                <c:lvl>
                  <c:pt idx="0">
                    <c:v>Equipment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Operating</c:v>
                  </c:pt>
                </c:lvl>
                <c:lvl>
                  <c:pt idx="0">
                    <c:v>Net Profit</c:v>
                  </c:pt>
                </c:lvl>
              </c:multiLvlStrCache>
            </c:multiLvlStrRef>
          </c:cat>
          <c:val>
            <c:numRef>
              <c:f>Dashboard!$C$121:$F$121</c:f>
              <c:numCache>
                <c:formatCode>General</c:formatCode>
                <c:ptCount val="4"/>
                <c:pt idx="0">
                  <c:v>44298200</c:v>
                </c:pt>
                <c:pt idx="1">
                  <c:v>5980800</c:v>
                </c:pt>
                <c:pt idx="2">
                  <c:v>17000000</c:v>
                </c:pt>
                <c:pt idx="3">
                  <c:v>3179000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Costs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"Cost"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Dashboard!$C$140:$I$140</c:f>
              <c:multiLvlStrCache>
                <c:ptCount val="1"/>
                <c:lvl/>
                <c:lvl/>
                <c:lvl/>
                <c:lvl>
                  <c:pt idx="0">
                    <c:v>Personnel</c:v>
                  </c:pt>
                </c:lvl>
                <c:lvl>
                  <c:pt idx="0">
                    <c:v>Utilities &amp; Connectivity</c:v>
                  </c:pt>
                </c:lvl>
                <c:lvl>
                  <c:pt idx="0">
                    <c:v>Office Space Rental</c:v>
                  </c:pt>
                </c:lvl>
                <c:lvl>
                  <c:pt idx="0">
                    <c:v>Data Storage &amp; Transmission</c:v>
                  </c:pt>
                </c:lvl>
              </c:multiLvlStrCache>
            </c:multiLvlStrRef>
          </c:cat>
          <c:val>
            <c:numRef>
              <c:f>Dashboard!$C$141:$I$141</c:f>
              <c:numCache>
                <c:formatCode>General</c:formatCode>
                <c:ptCount val="7"/>
                <c:pt idx="0">
                  <c:v>0.48</c:v>
                </c:pt>
                <c:pt idx="1">
                  <c:v>0.24</c:v>
                </c:pt>
                <c:pt idx="2">
                  <c:v>0.12</c:v>
                </c:pt>
                <c:pt idx="3">
                  <c:v>5.1408</c:v>
                </c:pt>
              </c:numCache>
            </c:numRef>
          </c:val>
        </c:ser>
        <c:gapWidth val="150"/>
        <c:overlap val="0"/>
        <c:axId val="77262855"/>
        <c:axId val="84132698"/>
      </c:barChart>
      <c:catAx>
        <c:axId val="772628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32698"/>
        <c:crosses val="autoZero"/>
        <c:auto val="1"/>
        <c:lblAlgn val="ctr"/>
        <c:lblOffset val="100"/>
        <c:noMultiLvlLbl val="0"/>
      </c:catAx>
      <c:valAx>
        <c:axId val="84132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62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Revenue, Costs &amp; Profit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Dashboard!$C$131:$G$131</c:f>
              <c:numCache>
                <c:formatCode>General</c:formatCode>
                <c:ptCount val="5"/>
                <c:pt idx="0">
                  <c:v>31.287</c:v>
                </c:pt>
                <c:pt idx="1">
                  <c:v>52.145</c:v>
                </c:pt>
                <c:pt idx="2">
                  <c:v>104.29</c:v>
                </c:pt>
                <c:pt idx="3">
                  <c:v>208.58</c:v>
                </c:pt>
                <c:pt idx="4">
                  <c:v>521.45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Dashboard!$C$132:$G$132</c:f>
              <c:numCache>
                <c:formatCode>General</c:formatCode>
                <c:ptCount val="5"/>
                <c:pt idx="0">
                  <c:v>12.4817</c:v>
                </c:pt>
                <c:pt idx="1">
                  <c:v>26.6435</c:v>
                </c:pt>
                <c:pt idx="2">
                  <c:v>50.083</c:v>
                </c:pt>
                <c:pt idx="3">
                  <c:v>82.706</c:v>
                </c:pt>
                <c:pt idx="4">
                  <c:v>148.581</c:v>
                </c:pt>
              </c:numCache>
            </c:numRef>
          </c:val>
        </c:ser>
        <c:ser>
          <c:idx val="2"/>
          <c:order val="2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Dashboard!$C$133:$G$133</c:f>
              <c:numCache>
                <c:formatCode>General</c:formatCode>
                <c:ptCount val="5"/>
                <c:pt idx="0">
                  <c:v>18.8053</c:v>
                </c:pt>
                <c:pt idx="1">
                  <c:v>25.5015</c:v>
                </c:pt>
                <c:pt idx="2">
                  <c:v>54.207</c:v>
                </c:pt>
                <c:pt idx="3">
                  <c:v>125.874</c:v>
                </c:pt>
                <c:pt idx="4">
                  <c:v>372.869</c:v>
                </c:pt>
              </c:numCache>
            </c:numRef>
          </c:val>
        </c:ser>
        <c:gapWidth val="150"/>
        <c:overlap val="0"/>
        <c:axId val="32706418"/>
        <c:axId val="39571095"/>
      </c:barChart>
      <c:catAx>
        <c:axId val="32706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71095"/>
        <c:crosses val="autoZero"/>
        <c:auto val="1"/>
        <c:lblAlgn val="ctr"/>
        <c:lblOffset val="100"/>
        <c:noMultiLvlLbl val="0"/>
      </c:catAx>
      <c:valAx>
        <c:axId val="39571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064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Personnel Headcount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"Headcount"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Dashboard!$C$130:$G$130</c:f>
              <c:multiLvlStrCache>
                <c:ptCount val="1"/>
                <c:lvl>
                  <c:pt idx="0">
                    <c:v>50K</c:v>
                  </c:pt>
                </c:lvl>
                <c:lvl>
                  <c:pt idx="0">
                    <c:v>20K</c:v>
                  </c:pt>
                </c:lvl>
                <c:lvl>
                  <c:pt idx="0">
                    <c:v>10K</c:v>
                  </c:pt>
                </c:lvl>
                <c:lvl>
                  <c:pt idx="0">
                    <c:v>5K</c:v>
                  </c:pt>
                </c:lvl>
                <c:lvl>
                  <c:pt idx="0">
                    <c:v>3K</c:v>
                  </c:pt>
                </c:lvl>
              </c:multiLvlStrCache>
            </c:multiLvlStrRef>
          </c:cat>
          <c:val>
            <c:numRef>
              <c:f>Dashboard!$C$135:$G$135</c:f>
              <c:numCache>
                <c:formatCode>General</c:formatCode>
                <c:ptCount val="5"/>
                <c:pt idx="0">
                  <c:v>5</c:v>
                </c:pt>
                <c:pt idx="1">
                  <c:v>14</c:v>
                </c:pt>
                <c:pt idx="2">
                  <c:v>28</c:v>
                </c:pt>
                <c:pt idx="3">
                  <c:v>42</c:v>
                </c:pt>
                <c:pt idx="4">
                  <c:v>62</c:v>
                </c:pt>
              </c:numCache>
            </c:numRef>
          </c:val>
        </c:ser>
        <c:gapWidth val="150"/>
        <c:overlap val="0"/>
        <c:axId val="22643138"/>
        <c:axId val="85078858"/>
      </c:barChart>
      <c:catAx>
        <c:axId val="22643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78858"/>
        <c:crosses val="autoZero"/>
        <c:auto val="1"/>
        <c:lblAlgn val="ctr"/>
        <c:lblOffset val="100"/>
        <c:noMultiLvlLbl val="0"/>
      </c:catAx>
      <c:valAx>
        <c:axId val="85078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43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Total Revenue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"5-Year Revenue"</c:f>
              <c:strCache>
                <c:ptCount val="1"/>
                <c:pt idx="0">
                  <c:v>5-Year 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Revenue!$B$15:$F$15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Revenue!$B$21:$F$21</c:f>
              <c:numCache>
                <c:formatCode>"N$"#,##0</c:formatCode>
                <c:ptCount val="5"/>
                <c:pt idx="0">
                  <c:v>10149600</c:v>
                </c:pt>
                <c:pt idx="1">
                  <c:v>16916000</c:v>
                </c:pt>
                <c:pt idx="2">
                  <c:v>33832000</c:v>
                </c:pt>
                <c:pt idx="3">
                  <c:v>67664000</c:v>
                </c:pt>
                <c:pt idx="4">
                  <c:v>169160000</c:v>
                </c:pt>
              </c:numCache>
            </c:numRef>
          </c:val>
        </c:ser>
        <c:gapWidth val="150"/>
        <c:overlap val="0"/>
        <c:axId val="97039101"/>
        <c:axId val="71179857"/>
      </c:barChart>
      <c:catAx>
        <c:axId val="97039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79857"/>
        <c:crosses val="autoZero"/>
        <c:auto val="1"/>
        <c:lblAlgn val="ctr"/>
        <c:lblOffset val="100"/>
        <c:noMultiLvlLbl val="0"/>
      </c:catAx>
      <c:valAx>
        <c:axId val="71179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39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&amp; Annual Personnel Cost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"Headcount"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'Personnel Cost'!$B$1:$F$1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'Personnel Cost'!$B$33:$F$33</c:f>
              <c:numCache>
                <c:formatCode>#,##0</c:formatCode>
                <c:ptCount val="5"/>
                <c:pt idx="0">
                  <c:v>5</c:v>
                </c:pt>
                <c:pt idx="1">
                  <c:v>14</c:v>
                </c:pt>
                <c:pt idx="2">
                  <c:v>28</c:v>
                </c:pt>
                <c:pt idx="3">
                  <c:v>42</c:v>
                </c:pt>
                <c:pt idx="4">
                  <c:v>62</c:v>
                </c:pt>
              </c:numCache>
            </c:numRef>
          </c:val>
        </c:ser>
        <c:gapWidth val="150"/>
        <c:overlap val="0"/>
        <c:axId val="59175358"/>
        <c:axId val="6783208"/>
      </c:barChart>
      <c:catAx>
        <c:axId val="59175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3208"/>
        <c:crosses val="autoZero"/>
        <c:auto val="1"/>
        <c:lblAlgn val="ctr"/>
        <c:lblOffset val="100"/>
        <c:noMultiLvlLbl val="0"/>
      </c:catAx>
      <c:valAx>
        <c:axId val="6783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753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Equipment Investment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"Service Vehicles"</c:f>
              <c:strCache>
                <c:ptCount val="1"/>
                <c:pt idx="0">
                  <c:v>Service Vehicles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Equipment'!$C$12:$G$12</c:f>
              <c:numCache>
                <c:formatCode>"N$"#,##0</c:formatCode>
                <c:ptCount val="5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750000</c:v>
                </c:pt>
                <c:pt idx="4">
                  <c:v>1250000</c:v>
                </c:pt>
              </c:numCache>
            </c:numRef>
          </c:val>
        </c:ser>
        <c:ser>
          <c:idx val="1"/>
          <c:order val="1"/>
          <c:tx>
            <c:strRef>
              <c:f>"Field Test Equipment Kits"</c:f>
              <c:strCache>
                <c:ptCount val="1"/>
                <c:pt idx="0">
                  <c:v>Field Test Equipment Kits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Equipment'!$C$13:$G$13</c:f>
              <c:numCache>
                <c:formatCode>"N$"#,##0</c:formatCode>
                <c:ptCount val="5"/>
                <c:pt idx="0">
                  <c:v>85000</c:v>
                </c:pt>
                <c:pt idx="1">
                  <c:v>170000</c:v>
                </c:pt>
                <c:pt idx="2">
                  <c:v>340000</c:v>
                </c:pt>
                <c:pt idx="3">
                  <c:v>680000</c:v>
                </c:pt>
                <c:pt idx="4">
                  <c:v>1530000</c:v>
                </c:pt>
              </c:numCache>
            </c:numRef>
          </c:val>
        </c:ser>
        <c:ser>
          <c:idx val="2"/>
          <c:order val="2"/>
          <c:tx>
            <c:strRef>
              <c:f>"Spare Parts Inventory"</c:f>
              <c:strCache>
                <c:ptCount val="1"/>
                <c:pt idx="0">
                  <c:v>Spare Parts Inventory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Equipment'!$C$14:$G$14</c:f>
              <c:numCache>
                <c:formatCode>"N$"#,##0</c:formatCode>
                <c:ptCount val="5"/>
                <c:pt idx="0">
                  <c:v>269700</c:v>
                </c:pt>
                <c:pt idx="1">
                  <c:v>449500</c:v>
                </c:pt>
                <c:pt idx="2">
                  <c:v>899000</c:v>
                </c:pt>
                <c:pt idx="3">
                  <c:v>1798000</c:v>
                </c:pt>
                <c:pt idx="4">
                  <c:v>4495000</c:v>
                </c:pt>
              </c:numCache>
            </c:numRef>
          </c:val>
        </c:ser>
        <c:ser>
          <c:idx val="3"/>
          <c:order val="3"/>
          <c:tx>
            <c:strRef>
              <c:f>"Workstations"</c:f>
              <c:strCache>
                <c:ptCount val="1"/>
                <c:pt idx="0">
                  <c:v>Workstations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Equipment'!$C$15:$G$15</c:f>
              <c:numCache>
                <c:formatCode>"N$"#,##0</c:formatCode>
                <c:ptCount val="5"/>
                <c:pt idx="0">
                  <c:v>75000</c:v>
                </c:pt>
                <c:pt idx="1">
                  <c:v>210000</c:v>
                </c:pt>
                <c:pt idx="2">
                  <c:v>420000</c:v>
                </c:pt>
                <c:pt idx="3">
                  <c:v>630000</c:v>
                </c:pt>
                <c:pt idx="4">
                  <c:v>930000</c:v>
                </c:pt>
              </c:numCache>
            </c:numRef>
          </c:val>
        </c:ser>
        <c:ser>
          <c:idx val="4"/>
          <c:order val="4"/>
          <c:tx>
            <c:strRef>
              <c:f>"Network Monitoring Tools"</c:f>
              <c:strCache>
                <c:ptCount val="1"/>
                <c:pt idx="0">
                  <c:v>Network Monitoring Tools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Equipment'!$C$16:$G$16</c:f>
              <c:numCache>
                <c:formatCode>"N$"#,##0</c:formatCode>
                <c:ptCount val="5"/>
                <c:pt idx="0">
                  <c:v>120000</c:v>
                </c:pt>
                <c:pt idx="1">
                  <c:v>120000</c:v>
                </c:pt>
                <c:pt idx="2">
                  <c:v>240000</c:v>
                </c:pt>
                <c:pt idx="3">
                  <c:v>360000</c:v>
                </c:pt>
                <c:pt idx="4">
                  <c:v>600000</c:v>
                </c:pt>
              </c:numCache>
            </c:numRef>
          </c:val>
        </c:ser>
        <c:ser>
          <c:idx val="5"/>
          <c:order val="5"/>
          <c:tx>
            <c:strRef>
              <c:f>"Office Equipment &amp; Furniture"</c:f>
              <c:strCache>
                <c:ptCount val="1"/>
                <c:pt idx="0">
                  <c:v>Office Equipment &amp; Furniture</c:v>
                </c:pt>
              </c:strCache>
            </c:strRef>
          </c:tx>
          <c:spPr>
            <a:solidFill>
              <a:srgbClr val="ff63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Equipment'!$C$17:$G$17</c:f>
              <c:numCache>
                <c:formatCode>"N$"#,##0</c:formatCode>
                <c:ptCount val="5"/>
                <c:pt idx="0">
                  <c:v>50000</c:v>
                </c:pt>
                <c:pt idx="1">
                  <c:v>140000</c:v>
                </c:pt>
                <c:pt idx="2">
                  <c:v>280000</c:v>
                </c:pt>
                <c:pt idx="3">
                  <c:v>420000</c:v>
                </c:pt>
                <c:pt idx="4">
                  <c:v>620000</c:v>
                </c:pt>
              </c:numCache>
            </c:numRef>
          </c:val>
        </c:ser>
        <c:ser>
          <c:idx val="6"/>
          <c:order val="6"/>
          <c:tx>
            <c:strRef>
              <c:f>"Server/Cloud Infrastructure"</c:f>
              <c:strCache>
                <c:ptCount val="1"/>
                <c:pt idx="0">
                  <c:v>Server/Cloud Infrastructure</c:v>
                </c:pt>
              </c:strCache>
            </c:strRef>
          </c:tx>
          <c:spPr>
            <a:solidFill>
              <a:srgbClr val="9966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'Infrastructure &amp; Equipment'!$C$11:$G$11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'Infrastructure &amp; Equipment'!$C$18:$G$18</c:f>
              <c:numCache>
                <c:formatCode>"N$"#,##0</c:formatCode>
                <c:ptCount val="5"/>
                <c:pt idx="0">
                  <c:v>100000</c:v>
                </c:pt>
                <c:pt idx="1">
                  <c:v>150000</c:v>
                </c:pt>
                <c:pt idx="2">
                  <c:v>250000</c:v>
                </c:pt>
                <c:pt idx="3">
                  <c:v>400000</c:v>
                </c:pt>
                <c:pt idx="4">
                  <c:v>800000</c:v>
                </c:pt>
              </c:numCache>
            </c:numRef>
          </c:val>
        </c:ser>
        <c:gapWidth val="150"/>
        <c:overlap val="100"/>
        <c:axId val="83243367"/>
        <c:axId val="36559949"/>
      </c:barChart>
      <c:catAx>
        <c:axId val="83243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59949"/>
        <c:crosses val="autoZero"/>
        <c:auto val="1"/>
        <c:lblAlgn val="ctr"/>
        <c:lblOffset val="100"/>
        <c:noMultiLvlLbl val="0"/>
      </c:catAx>
      <c:valAx>
        <c:axId val="36559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N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43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Manufacturing Cost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"Manufacturing Cost"</c:f>
              <c:strCache>
                <c:ptCount val="1"/>
                <c:pt idx="0">
                  <c:v>Manufacturing Cost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'Manufacturing Cost'!$A$13:$A$17</c:f>
              <c:strCache>
                <c:ptCount val="5"/>
                <c:pt idx="0">
                  <c:v>3,000 Meters</c:v>
                </c:pt>
                <c:pt idx="1">
                  <c:v>5,000 Meters</c:v>
                </c:pt>
                <c:pt idx="2">
                  <c:v>10,000 Meters</c:v>
                </c:pt>
                <c:pt idx="3">
                  <c:v>20,000 Meters</c:v>
                </c:pt>
                <c:pt idx="4">
                  <c:v>50,000 Meters</c:v>
                </c:pt>
              </c:strCache>
            </c:strRef>
          </c:cat>
          <c:val>
            <c:numRef>
              <c:f>'Manufacturing Cost'!$D$13:$D$17</c:f>
              <c:numCache>
                <c:formatCode>"N$"#,##0</c:formatCode>
                <c:ptCount val="5"/>
                <c:pt idx="0">
                  <c:v>6000000</c:v>
                </c:pt>
                <c:pt idx="1">
                  <c:v>10000000</c:v>
                </c:pt>
                <c:pt idx="2">
                  <c:v>17000000</c:v>
                </c:pt>
                <c:pt idx="3">
                  <c:v>34000000</c:v>
                </c:pt>
                <c:pt idx="4">
                  <c:v>73100000</c:v>
                </c:pt>
              </c:numCache>
            </c:numRef>
          </c:val>
        </c:ser>
        <c:gapWidth val="150"/>
        <c:overlap val="0"/>
        <c:axId val="45273227"/>
        <c:axId val="21713812"/>
      </c:barChart>
      <c:catAx>
        <c:axId val="45273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3812"/>
        <c:crosses val="autoZero"/>
        <c:auto val="1"/>
        <c:lblAlgn val="ctr"/>
        <c:lblOffset val="100"/>
        <c:noMultiLvlLbl val="0"/>
      </c:catAx>
      <c:valAx>
        <c:axId val="21713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73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 1: Revenue vs Costs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'Profitability Analysis'!$B$3:$F$3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'Profitability Analysis'!$B$8:$F$8</c:f>
              <c:numCache>
                <c:formatCode>"N$"#,##0</c:formatCode>
                <c:ptCount val="5"/>
                <c:pt idx="0">
                  <c:v>21137400</c:v>
                </c:pt>
                <c:pt idx="1">
                  <c:v>35229000</c:v>
                </c:pt>
                <c:pt idx="2">
                  <c:v>70458000</c:v>
                </c:pt>
                <c:pt idx="3">
                  <c:v>140916000</c:v>
                </c:pt>
                <c:pt idx="4">
                  <c:v>352290000</c:v>
                </c:pt>
              </c:numCache>
            </c:numRef>
          </c:val>
        </c:ser>
        <c:ser>
          <c:idx val="1"/>
          <c:order val="1"/>
          <c:tx>
            <c:strRef>
              <c:f>"Manufacturing"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'Profitability Analysis'!$B$3:$F$3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'Profitability Analysis'!$B$11:$F$11</c:f>
              <c:numCache>
                <c:formatCode>"N$"#,##0</c:formatCode>
                <c:ptCount val="5"/>
                <c:pt idx="0">
                  <c:v>6000000</c:v>
                </c:pt>
                <c:pt idx="1">
                  <c:v>10000000</c:v>
                </c:pt>
                <c:pt idx="2">
                  <c:v>17000000</c:v>
                </c:pt>
                <c:pt idx="3">
                  <c:v>34000000</c:v>
                </c:pt>
                <c:pt idx="4">
                  <c:v>73100000</c:v>
                </c:pt>
              </c:numCache>
            </c:numRef>
          </c:val>
        </c:ser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'Profitability Analysis'!$B$3:$F$3</c:f>
              <c:multiLvlStrCache>
                <c:ptCount val="1"/>
                <c:lvl>
                  <c:pt idx="0">
                    <c:v>50,000 Meters</c:v>
                  </c:pt>
                </c:lvl>
                <c:lvl>
                  <c:pt idx="0">
                    <c:v>20,000 Meters</c:v>
                  </c:pt>
                </c:lvl>
                <c:lvl>
                  <c:pt idx="0">
                    <c:v>10,000 Meters</c:v>
                  </c:pt>
                </c:lvl>
                <c:lvl>
                  <c:pt idx="0">
                    <c:v>5,000 Meters</c:v>
                  </c:pt>
                </c:lvl>
                <c:lvl>
                  <c:pt idx="0">
                    <c:v>3,000 Meters</c:v>
                  </c:pt>
                </c:lvl>
              </c:multiLvlStrCache>
            </c:multiLvlStrRef>
          </c:cat>
          <c:val>
            <c:numRef>
              <c:f>'Profitability Analysis'!$B$17:$F$17</c:f>
              <c:numCache>
                <c:formatCode>"N$"#,##0</c:formatCode>
                <c:ptCount val="5"/>
                <c:pt idx="0">
                  <c:v>14031000</c:v>
                </c:pt>
                <c:pt idx="1">
                  <c:v>22248200</c:v>
                </c:pt>
                <c:pt idx="2">
                  <c:v>47477200</c:v>
                </c:pt>
                <c:pt idx="3">
                  <c:v>98182400</c:v>
                </c:pt>
                <c:pt idx="4">
                  <c:v>266138800</c:v>
                </c:pt>
              </c:numCache>
            </c:numRef>
          </c:val>
        </c:ser>
        <c:gapWidth val="150"/>
        <c:overlap val="0"/>
        <c:axId val="87971509"/>
        <c:axId val="73819496"/>
      </c:barChart>
      <c:catAx>
        <c:axId val="87971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19496"/>
        <c:crosses val="autoZero"/>
        <c:auto val="1"/>
        <c:lblAlgn val="ctr"/>
        <c:lblOffset val="100"/>
        <c:noMultiLvlLbl val="0"/>
      </c:catAx>
      <c:valAx>
        <c:axId val="73819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715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11</xdr:col>
      <xdr:colOff>1056960</xdr:colOff>
      <xdr:row>26</xdr:row>
      <xdr:rowOff>62280</xdr:rowOff>
    </xdr:to>
    <xdr:graphicFrame>
      <xdr:nvGraphicFramePr>
        <xdr:cNvPr id="0" name="Chart 1"/>
        <xdr:cNvGraphicFramePr/>
      </xdr:nvGraphicFramePr>
      <xdr:xfrm>
        <a:off x="4311720" y="20480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0</xdr:rowOff>
    </xdr:from>
    <xdr:to>
      <xdr:col>16</xdr:col>
      <xdr:colOff>639000</xdr:colOff>
      <xdr:row>26</xdr:row>
      <xdr:rowOff>62280</xdr:rowOff>
    </xdr:to>
    <xdr:graphicFrame>
      <xdr:nvGraphicFramePr>
        <xdr:cNvPr id="1" name="Chart 2"/>
        <xdr:cNvGraphicFramePr/>
      </xdr:nvGraphicFramePr>
      <xdr:xfrm>
        <a:off x="9734400" y="20480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16</xdr:col>
      <xdr:colOff>639000</xdr:colOff>
      <xdr:row>39</xdr:row>
      <xdr:rowOff>109440</xdr:rowOff>
    </xdr:to>
    <xdr:graphicFrame>
      <xdr:nvGraphicFramePr>
        <xdr:cNvPr id="2" name="Chart 3"/>
        <xdr:cNvGraphicFramePr/>
      </xdr:nvGraphicFramePr>
      <xdr:xfrm>
        <a:off x="9734400" y="51148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5</xdr:col>
      <xdr:colOff>861120</xdr:colOff>
      <xdr:row>46</xdr:row>
      <xdr:rowOff>157320</xdr:rowOff>
    </xdr:to>
    <xdr:graphicFrame>
      <xdr:nvGraphicFramePr>
        <xdr:cNvPr id="3" name="Chart 4"/>
        <xdr:cNvGraphicFramePr/>
      </xdr:nvGraphicFramePr>
      <xdr:xfrm>
        <a:off x="133200" y="68104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28</xdr:row>
      <xdr:rowOff>0</xdr:rowOff>
    </xdr:from>
    <xdr:to>
      <xdr:col>9</xdr:col>
      <xdr:colOff>772560</xdr:colOff>
      <xdr:row>46</xdr:row>
      <xdr:rowOff>157320</xdr:rowOff>
    </xdr:to>
    <xdr:graphicFrame>
      <xdr:nvGraphicFramePr>
        <xdr:cNvPr id="4" name="Chart 5"/>
        <xdr:cNvGraphicFramePr/>
      </xdr:nvGraphicFramePr>
      <xdr:xfrm>
        <a:off x="4311720" y="68104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7</xdr:col>
      <xdr:colOff>167760</xdr:colOff>
      <xdr:row>69</xdr:row>
      <xdr:rowOff>204840</xdr:rowOff>
    </xdr:to>
    <xdr:graphicFrame>
      <xdr:nvGraphicFramePr>
        <xdr:cNvPr id="5" name="Chart 6"/>
        <xdr:cNvGraphicFramePr/>
      </xdr:nvGraphicFramePr>
      <xdr:xfrm>
        <a:off x="133200" y="12163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51</xdr:row>
      <xdr:rowOff>0</xdr:rowOff>
    </xdr:from>
    <xdr:to>
      <xdr:col>16</xdr:col>
      <xdr:colOff>639000</xdr:colOff>
      <xdr:row>69</xdr:row>
      <xdr:rowOff>204840</xdr:rowOff>
    </xdr:to>
    <xdr:graphicFrame>
      <xdr:nvGraphicFramePr>
        <xdr:cNvPr id="6" name="Chart 7"/>
        <xdr:cNvGraphicFramePr/>
      </xdr:nvGraphicFramePr>
      <xdr:xfrm>
        <a:off x="9734400" y="121633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172800</xdr:rowOff>
    </xdr:from>
    <xdr:to>
      <xdr:col>3</xdr:col>
      <xdr:colOff>452160</xdr:colOff>
      <xdr:row>43</xdr:row>
      <xdr:rowOff>81000</xdr:rowOff>
    </xdr:to>
    <xdr:graphicFrame>
      <xdr:nvGraphicFramePr>
        <xdr:cNvPr id="7" name="Chart 1"/>
        <xdr:cNvGraphicFramePr/>
      </xdr:nvGraphicFramePr>
      <xdr:xfrm>
        <a:off x="0" y="4381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68</xdr:row>
      <xdr:rowOff>12240</xdr:rowOff>
    </xdr:from>
    <xdr:to>
      <xdr:col>4</xdr:col>
      <xdr:colOff>541080</xdr:colOff>
      <xdr:row>90</xdr:row>
      <xdr:rowOff>110880</xdr:rowOff>
    </xdr:to>
    <xdr:graphicFrame>
      <xdr:nvGraphicFramePr>
        <xdr:cNvPr id="8" name="Chart 1"/>
        <xdr:cNvGraphicFramePr/>
      </xdr:nvGraphicFramePr>
      <xdr:xfrm>
        <a:off x="0" y="133351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131040</xdr:rowOff>
    </xdr:from>
    <xdr:to>
      <xdr:col>4</xdr:col>
      <xdr:colOff>185400</xdr:colOff>
      <xdr:row>46</xdr:row>
      <xdr:rowOff>187920</xdr:rowOff>
    </xdr:to>
    <xdr:graphicFrame>
      <xdr:nvGraphicFramePr>
        <xdr:cNvPr id="9" name="Chart 1"/>
        <xdr:cNvGraphicFramePr/>
      </xdr:nvGraphicFramePr>
      <xdr:xfrm>
        <a:off x="0" y="4000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151560</xdr:rowOff>
    </xdr:from>
    <xdr:to>
      <xdr:col>3</xdr:col>
      <xdr:colOff>1510200</xdr:colOff>
      <xdr:row>40</xdr:row>
      <xdr:rowOff>60120</xdr:rowOff>
    </xdr:to>
    <xdr:graphicFrame>
      <xdr:nvGraphicFramePr>
        <xdr:cNvPr id="10" name="Chart 1"/>
        <xdr:cNvGraphicFramePr/>
      </xdr:nvGraphicFramePr>
      <xdr:xfrm>
        <a:off x="0" y="3619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160560</xdr:rowOff>
    </xdr:from>
    <xdr:to>
      <xdr:col>3</xdr:col>
      <xdr:colOff>985320</xdr:colOff>
      <xdr:row>57</xdr:row>
      <xdr:rowOff>27000</xdr:rowOff>
    </xdr:to>
    <xdr:graphicFrame>
      <xdr:nvGraphicFramePr>
        <xdr:cNvPr id="11" name="Chart 1"/>
        <xdr:cNvGraphicFramePr/>
      </xdr:nvGraphicFramePr>
      <xdr:xfrm>
        <a:off x="0" y="5905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P1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"/>
    <col collapsed="false" customWidth="true" hidden="false" outlineLevel="0" max="10" min="6" style="0" width="12"/>
    <col collapsed="false" customWidth="true" hidden="false" outlineLevel="0" max="11" min="11" style="0" width="1"/>
    <col collapsed="false" customWidth="true" hidden="false" outlineLevel="0" max="15" min="12" style="0" width="12"/>
    <col collapsed="false" customWidth="true" hidden="false" outlineLevel="0" max="16" min="16" style="0" width="1.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24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36" hidden="false" customHeight="true" outlineLevel="0" collapsed="false">
      <c r="A5" s="1"/>
      <c r="B5" s="4" t="str">
        <f aca="false">"N$"&amp;TEXT(INDEX($C$101:$G$101,1,$C$91)/1000000,"#,##0")&amp;"M"</f>
        <v>N$104M</v>
      </c>
      <c r="C5" s="4"/>
      <c r="D5" s="1"/>
      <c r="E5" s="1"/>
      <c r="F5" s="4" t="str">
        <f aca="false">"N$"&amp;TEXT(INDEX($C$103:$G$103,1,$C$91)/1000000,"#,##0")&amp;"M"</f>
        <v>N$54M</v>
      </c>
      <c r="G5" s="4"/>
      <c r="H5" s="1"/>
      <c r="I5" s="5" t="str">
        <f aca="false">TEXT(INDEX($C$104:$G$104,1,$C$91)*100,"0.0")&amp;"%"</f>
        <v>75.9%</v>
      </c>
      <c r="J5" s="5"/>
      <c r="K5" s="1"/>
      <c r="L5" s="6" t="str">
        <f aca="false">TEXT(ROUND(INDEX($C$107:$G$107,1,$C$91),0),"#,##0")&amp;" days"</f>
        <v>136 days</v>
      </c>
      <c r="M5" s="6"/>
      <c r="N5" s="7" t="s">
        <v>2</v>
      </c>
      <c r="O5" s="7"/>
      <c r="P5" s="1"/>
    </row>
    <row r="6" customFormat="false" ht="15.75" hidden="false" customHeight="true" outlineLevel="0" collapsed="false">
      <c r="A6" s="1"/>
      <c r="B6" s="8" t="s">
        <v>3</v>
      </c>
      <c r="C6" s="8"/>
      <c r="D6" s="1"/>
      <c r="E6" s="1"/>
      <c r="F6" s="8" t="s">
        <v>4</v>
      </c>
      <c r="G6" s="8"/>
      <c r="H6" s="1"/>
      <c r="I6" s="8" t="s">
        <v>5</v>
      </c>
      <c r="J6" s="8"/>
      <c r="K6" s="1"/>
      <c r="L6" s="8" t="s">
        <v>6</v>
      </c>
      <c r="M6" s="8"/>
      <c r="N6" s="9" t="s">
        <v>7</v>
      </c>
      <c r="O6" s="9"/>
      <c r="P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21.75" hidden="false" customHeight="true" outlineLevel="0" collapsed="false">
      <c r="A8" s="1"/>
      <c r="B8" s="10" t="s">
        <v>8</v>
      </c>
      <c r="C8" s="10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customFormat="false" ht="18" hidden="false" customHeight="true" outlineLevel="0" collapsed="false">
      <c r="A9" s="1"/>
      <c r="B9" s="11" t="s">
        <v>9</v>
      </c>
      <c r="C9" s="12" t="str">
        <f aca="false">TEXT(INDEX($C$92:$G$92,1,$C$91),"#,##0")</f>
        <v>10,000</v>
      </c>
      <c r="D9" s="13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8" hidden="false" customHeight="true" outlineLevel="0" collapsed="false">
      <c r="A10" s="1"/>
      <c r="B10" s="11" t="s">
        <v>11</v>
      </c>
      <c r="C10" s="12" t="s">
        <v>12</v>
      </c>
      <c r="D10" s="13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8" hidden="false" customHeight="true" outlineLevel="0" collapsed="false">
      <c r="A11" s="1"/>
      <c r="B11" s="11" t="s">
        <v>14</v>
      </c>
      <c r="C11" s="12" t="s">
        <v>15</v>
      </c>
      <c r="D11" s="13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8" hidden="false" customHeight="true" outlineLevel="0" collapsed="false">
      <c r="A12" s="1"/>
      <c r="B12" s="11" t="s">
        <v>16</v>
      </c>
      <c r="C12" s="12" t="str">
        <f aca="false">"N$"&amp;TEXT(INDEX($C$93:$G$93,1,$C$91),"#,##0")</f>
        <v>N$1,700</v>
      </c>
      <c r="D12" s="13" t="s">
        <v>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8" hidden="false" customHeight="true" outlineLevel="0" collapsed="false">
      <c r="A13" s="1"/>
      <c r="B13" s="11" t="s">
        <v>18</v>
      </c>
      <c r="C13" s="12" t="str">
        <f aca="false">"N$"&amp;TEXT(INDEX($C$95:$G$95,1,$C$91),"#,##0")</f>
        <v>N$5,140,800</v>
      </c>
      <c r="D13" s="13" t="s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8" hidden="false" customHeight="true" outlineLevel="0" collapsed="false">
      <c r="A14" s="1"/>
      <c r="B14" s="11" t="s">
        <v>20</v>
      </c>
      <c r="C14" s="12" t="str">
        <f aca="false">"N$"&amp;TEXT(INDEX($C$96:$G$96,1,$C$91),"#,##0")</f>
        <v>N$840,000</v>
      </c>
      <c r="D14" s="13" t="s">
        <v>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8" hidden="false" customHeight="true" outlineLevel="0" collapsed="false">
      <c r="A15" s="1"/>
      <c r="B15" s="11" t="s">
        <v>21</v>
      </c>
      <c r="C15" s="12" t="str">
        <f aca="false">"N$"&amp;TEXT(INDEX($C$100:$G$100,1,$C$91),"#,##0")</f>
        <v>N$8,458,000</v>
      </c>
      <c r="D15" s="13" t="s">
        <v>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1.75" hidden="false" customHeight="true" outlineLevel="0" collapsed="false">
      <c r="A17" s="1"/>
      <c r="B17" s="10" t="s">
        <v>22</v>
      </c>
      <c r="C17" s="10"/>
      <c r="D17" s="1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8" hidden="false" customHeight="true" outlineLevel="0" collapsed="false">
      <c r="A18" s="1"/>
      <c r="B18" s="11" t="s">
        <v>23</v>
      </c>
      <c r="C18" s="12" t="str">
        <f aca="false">"N$"&amp;TEXT(INDEX($C$101:$G$101,1,$C$91),"#,##0")</f>
        <v>N$104,290,000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8" hidden="false" customHeight="true" outlineLevel="0" collapsed="false">
      <c r="A19" s="1"/>
      <c r="B19" s="11" t="s">
        <v>24</v>
      </c>
      <c r="C19" s="14" t="str">
        <f aca="false">"N$"&amp;TEXT(INDEX($C$102:$G$102,1,$C$91),"#,##0")</f>
        <v>N$50,083,000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8" hidden="false" customHeight="true" outlineLevel="0" collapsed="false">
      <c r="A20" s="1"/>
      <c r="B20" s="11" t="s">
        <v>25</v>
      </c>
      <c r="C20" s="15" t="str">
        <f aca="false">"N$"&amp;TEXT(INDEX($C$103:$G$103,1,$C$91),"#,##0")</f>
        <v>N$54,207,000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8" hidden="false" customHeight="true" outlineLevel="0" collapsed="false">
      <c r="A21" s="1"/>
      <c r="B21" s="11" t="s">
        <v>26</v>
      </c>
      <c r="C21" s="12" t="str">
        <f aca="false">TEXT(IF(INDEX($C$102:$G$102,1,$C$91)&gt;0,INDEX($C$103:$G$103,1,$C$91)/INDEX($C$102:$G$102,1,$C$91),0)*100,"#,##0")&amp;"%"</f>
        <v>108%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3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8" hidden="false" customHeight="true" outlineLevel="0" collapsed="false">
      <c r="A23" s="1"/>
      <c r="B23" s="10" t="s">
        <v>27</v>
      </c>
      <c r="C23" s="10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8" hidden="false" customHeight="true" outlineLevel="0" collapsed="false">
      <c r="A24" s="1"/>
      <c r="B24" s="11" t="s">
        <v>28</v>
      </c>
      <c r="C24" s="15" t="str">
        <f aca="false">TEXT(INDEX($C$104:$G$104,1,$C$91)*100,"0.0")&amp;"%"</f>
        <v>75.9%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8" hidden="false" customHeight="true" outlineLevel="0" collapsed="false">
      <c r="A25" s="1"/>
      <c r="B25" s="11" t="s">
        <v>29</v>
      </c>
      <c r="C25" s="15" t="str">
        <f aca="false">TEXT(INDEX($C$105:$G$105,1,$C$91)*100,"0.0")&amp;"%"</f>
        <v>67.4%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8" hidden="false" customHeight="true" outlineLevel="0" collapsed="false">
      <c r="A26" s="1"/>
      <c r="B26" s="11" t="s">
        <v>30</v>
      </c>
      <c r="C26" s="15" t="str">
        <f aca="false">TEXT(INDEX($C$106:$G$106,1,$C$91)*100,"0.0")&amp;"%"</f>
        <v>67.4%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21.75" hidden="false" customHeight="true" outlineLevel="0" collapsed="false">
      <c r="A28" s="1"/>
      <c r="B28" s="10" t="s">
        <v>31</v>
      </c>
      <c r="C28" s="10"/>
      <c r="D28" s="1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21.75" hidden="false" customHeight="true" outlineLevel="0" collapsed="false">
      <c r="A42" s="1"/>
      <c r="B42" s="10" t="s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"/>
    </row>
    <row r="43" customFormat="false" ht="18" hidden="false" customHeight="true" outlineLevel="0" collapsed="false">
      <c r="A43" s="1"/>
      <c r="B43" s="16" t="s">
        <v>33</v>
      </c>
      <c r="C43" s="16"/>
      <c r="D43" s="16"/>
      <c r="E43" s="1"/>
      <c r="F43" s="17" t="s">
        <v>34</v>
      </c>
      <c r="G43" s="1"/>
      <c r="H43" s="17" t="s">
        <v>35</v>
      </c>
      <c r="I43" s="1"/>
      <c r="J43" s="17" t="s">
        <v>36</v>
      </c>
      <c r="K43" s="1"/>
      <c r="L43" s="17" t="s">
        <v>37</v>
      </c>
      <c r="M43" s="1"/>
      <c r="N43" s="17" t="s">
        <v>38</v>
      </c>
      <c r="O43" s="1"/>
      <c r="P43" s="1"/>
    </row>
    <row r="44" customFormat="false" ht="18" hidden="false" customHeight="true" outlineLevel="0" collapsed="false">
      <c r="A44" s="1"/>
      <c r="B44" s="18" t="s">
        <v>3</v>
      </c>
      <c r="C44" s="18"/>
      <c r="D44" s="18"/>
      <c r="E44" s="1"/>
      <c r="F44" s="19" t="n">
        <f aca="false">C101</f>
        <v>31287000</v>
      </c>
      <c r="G44" s="1"/>
      <c r="H44" s="19" t="n">
        <f aca="false">D101</f>
        <v>52145000</v>
      </c>
      <c r="I44" s="1"/>
      <c r="J44" s="20" t="n">
        <f aca="false">E101</f>
        <v>104290000</v>
      </c>
      <c r="K44" s="1"/>
      <c r="L44" s="19" t="n">
        <f aca="false">F101</f>
        <v>208580000</v>
      </c>
      <c r="M44" s="1"/>
      <c r="N44" s="19" t="n">
        <f aca="false">G101</f>
        <v>521450000</v>
      </c>
      <c r="O44" s="1"/>
      <c r="P44" s="1"/>
    </row>
    <row r="45" customFormat="false" ht="18" hidden="false" customHeight="true" outlineLevel="0" collapsed="false">
      <c r="A45" s="1"/>
      <c r="B45" s="21" t="s">
        <v>39</v>
      </c>
      <c r="C45" s="21"/>
      <c r="D45" s="21"/>
      <c r="E45" s="1"/>
      <c r="F45" s="22" t="n">
        <f aca="false">C102</f>
        <v>12481700</v>
      </c>
      <c r="G45" s="1"/>
      <c r="H45" s="22" t="n">
        <f aca="false">D102</f>
        <v>26643500</v>
      </c>
      <c r="I45" s="1"/>
      <c r="J45" s="23" t="n">
        <f aca="false">E102</f>
        <v>50083000</v>
      </c>
      <c r="K45" s="1"/>
      <c r="L45" s="22" t="n">
        <f aca="false">F102</f>
        <v>82706000</v>
      </c>
      <c r="M45" s="1"/>
      <c r="N45" s="22" t="n">
        <f aca="false">G102</f>
        <v>148581000</v>
      </c>
      <c r="O45" s="1"/>
      <c r="P45" s="1"/>
    </row>
    <row r="46" customFormat="false" ht="18" hidden="false" customHeight="true" outlineLevel="0" collapsed="false">
      <c r="A46" s="1"/>
      <c r="B46" s="18" t="s">
        <v>40</v>
      </c>
      <c r="C46" s="18"/>
      <c r="D46" s="18"/>
      <c r="E46" s="1"/>
      <c r="F46" s="19" t="n">
        <f aca="false">C103</f>
        <v>18805300</v>
      </c>
      <c r="G46" s="1"/>
      <c r="H46" s="19" t="n">
        <f aca="false">D103</f>
        <v>25501500</v>
      </c>
      <c r="I46" s="1"/>
      <c r="J46" s="20" t="n">
        <f aca="false">E103</f>
        <v>54207000</v>
      </c>
      <c r="K46" s="1"/>
      <c r="L46" s="19" t="n">
        <f aca="false">F103</f>
        <v>125874000</v>
      </c>
      <c r="M46" s="1"/>
      <c r="N46" s="19" t="n">
        <f aca="false">G103</f>
        <v>372869000</v>
      </c>
      <c r="O46" s="1"/>
      <c r="P46" s="1"/>
    </row>
    <row r="47" customFormat="false" ht="18" hidden="false" customHeight="true" outlineLevel="0" collapsed="false">
      <c r="A47" s="1"/>
      <c r="B47" s="21" t="s">
        <v>5</v>
      </c>
      <c r="C47" s="21"/>
      <c r="D47" s="21"/>
      <c r="E47" s="1"/>
      <c r="F47" s="24" t="n">
        <f aca="false">C104</f>
        <v>0.716142950410173</v>
      </c>
      <c r="G47" s="1"/>
      <c r="H47" s="24" t="n">
        <f aca="false">D104</f>
        <v>0.716142950410173</v>
      </c>
      <c r="I47" s="1"/>
      <c r="J47" s="25" t="n">
        <f aca="false">E104</f>
        <v>0.758721507848647</v>
      </c>
      <c r="K47" s="1"/>
      <c r="L47" s="24" t="n">
        <f aca="false">F104</f>
        <v>0.758721507848647</v>
      </c>
      <c r="M47" s="1"/>
      <c r="N47" s="24" t="n">
        <f aca="false">G104</f>
        <v>0.792500496749837</v>
      </c>
      <c r="O47" s="1"/>
      <c r="P47" s="1"/>
    </row>
    <row r="48" customFormat="false" ht="18" hidden="false" customHeight="true" outlineLevel="0" collapsed="false">
      <c r="A48" s="1"/>
      <c r="B48" s="18" t="s">
        <v>41</v>
      </c>
      <c r="C48" s="18"/>
      <c r="D48" s="18"/>
      <c r="E48" s="1"/>
      <c r="F48" s="26" t="n">
        <f aca="false">C107</f>
        <v>139.112497279703</v>
      </c>
      <c r="G48" s="1"/>
      <c r="H48" s="26" t="n">
        <f aca="false">D107</f>
        <v>152.513823838315</v>
      </c>
      <c r="I48" s="1"/>
      <c r="J48" s="27" t="n">
        <f aca="false">E107</f>
        <v>135.517996536944</v>
      </c>
      <c r="K48" s="1"/>
      <c r="L48" s="26" t="n">
        <f aca="false">F107</f>
        <v>123.737787050441</v>
      </c>
      <c r="M48" s="1"/>
      <c r="N48" s="26" t="n">
        <f aca="false">G107</f>
        <v>99.8532828067785</v>
      </c>
      <c r="O48" s="1"/>
      <c r="P48" s="1"/>
    </row>
    <row r="49" customFormat="false" ht="18" hidden="false" customHeight="true" outlineLevel="0" collapsed="false">
      <c r="A49" s="1"/>
      <c r="B49" s="21" t="s">
        <v>42</v>
      </c>
      <c r="C49" s="21"/>
      <c r="D49" s="21"/>
      <c r="E49" s="1"/>
      <c r="F49" s="24" t="n">
        <f aca="false">IF(C102&gt;0,C103/C102,0)</f>
        <v>1.50662970588942</v>
      </c>
      <c r="G49" s="1"/>
      <c r="H49" s="24" t="n">
        <f aca="false">IF(D102&gt;0,D103/D102,0)</f>
        <v>0.957137763431982</v>
      </c>
      <c r="I49" s="1"/>
      <c r="J49" s="25" t="n">
        <f aca="false">IF(E102&gt;0,E103/E102,0)</f>
        <v>1.08234331010523</v>
      </c>
      <c r="K49" s="1"/>
      <c r="L49" s="24" t="n">
        <f aca="false">IF(F102&gt;0,F103/F102,0)</f>
        <v>1.52194520349189</v>
      </c>
      <c r="M49" s="1"/>
      <c r="N49" s="24" t="n">
        <f aca="false">IF(G102&gt;0,G103/G102,0)</f>
        <v>2.50953352043666</v>
      </c>
      <c r="O49" s="1"/>
      <c r="P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21.75" hidden="false" customHeight="true" outlineLevel="0" collapsed="false">
      <c r="A51" s="1"/>
      <c r="B51" s="10" t="s">
        <v>43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8" hidden="false" customHeight="true" outlineLevel="0" collapsed="false">
      <c r="A66" s="1"/>
      <c r="B66" s="28" t="s">
        <v>44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90" customFormat="false" ht="15" hidden="false" customHeight="false" outlineLevel="0" collapsed="false">
      <c r="C90" s="29" t="s">
        <v>45</v>
      </c>
      <c r="D90" s="29" t="s">
        <v>46</v>
      </c>
      <c r="E90" s="29" t="s">
        <v>7</v>
      </c>
      <c r="F90" s="29" t="s">
        <v>47</v>
      </c>
      <c r="G90" s="29" t="s">
        <v>48</v>
      </c>
    </row>
    <row r="91" customFormat="false" ht="15" hidden="false" customHeight="false" outlineLevel="0" collapsed="false">
      <c r="C91" s="29" t="n">
        <f aca="false">MATCH($N$6,$C$90:$G$90,0)</f>
        <v>3</v>
      </c>
    </row>
    <row r="92" customFormat="false" ht="15" hidden="false" customHeight="false" outlineLevel="0" collapsed="false">
      <c r="C92" s="29" t="n">
        <v>3000</v>
      </c>
      <c r="D92" s="29" t="n">
        <v>5000</v>
      </c>
      <c r="E92" s="29" t="n">
        <v>10000</v>
      </c>
      <c r="F92" s="29" t="n">
        <v>20000</v>
      </c>
      <c r="G92" s="29" t="n">
        <v>50000</v>
      </c>
    </row>
    <row r="93" customFormat="false" ht="15" hidden="false" customHeight="false" outlineLevel="0" collapsed="false">
      <c r="C93" s="29" t="n">
        <v>2000</v>
      </c>
      <c r="D93" s="29" t="n">
        <v>2000</v>
      </c>
      <c r="E93" s="29" t="n">
        <v>1700</v>
      </c>
      <c r="F93" s="29" t="n">
        <v>1700</v>
      </c>
      <c r="G93" s="29" t="n">
        <v>1462</v>
      </c>
    </row>
    <row r="94" customFormat="false" ht="15" hidden="false" customHeight="false" outlineLevel="0" collapsed="false">
      <c r="C94" s="29" t="n">
        <v>6000000</v>
      </c>
      <c r="D94" s="29" t="n">
        <v>10000000</v>
      </c>
      <c r="E94" s="29" t="n">
        <v>17000000</v>
      </c>
      <c r="F94" s="29" t="n">
        <v>34000000</v>
      </c>
      <c r="G94" s="29" t="n">
        <v>73100000</v>
      </c>
    </row>
    <row r="95" customFormat="false" ht="15" hidden="false" customHeight="false" outlineLevel="0" collapsed="false">
      <c r="C95" s="29" t="n">
        <v>866400</v>
      </c>
      <c r="D95" s="29" t="n">
        <v>2560800</v>
      </c>
      <c r="E95" s="29" t="n">
        <v>5140800</v>
      </c>
      <c r="F95" s="29" t="n">
        <v>7173600</v>
      </c>
      <c r="G95" s="29" t="n">
        <v>9571200</v>
      </c>
    </row>
    <row r="96" customFormat="false" ht="15" hidden="false" customHeight="false" outlineLevel="0" collapsed="false">
      <c r="C96" s="29" t="n">
        <v>240000</v>
      </c>
      <c r="D96" s="29" t="n">
        <v>420000</v>
      </c>
      <c r="E96" s="29" t="n">
        <v>840000</v>
      </c>
      <c r="F96" s="29" t="n">
        <v>1560000</v>
      </c>
      <c r="G96" s="29" t="n">
        <v>3480000</v>
      </c>
    </row>
    <row r="97" customFormat="false" ht="15" hidden="false" customHeight="false" outlineLevel="0" collapsed="false">
      <c r="C97" s="29" t="n">
        <v>949700</v>
      </c>
      <c r="D97" s="29" t="n">
        <v>1739500</v>
      </c>
      <c r="E97" s="29" t="n">
        <v>3179000</v>
      </c>
      <c r="F97" s="29" t="n">
        <v>5038000</v>
      </c>
      <c r="G97" s="29" t="n">
        <v>10225000</v>
      </c>
    </row>
    <row r="98" customFormat="false" ht="15" hidden="false" customHeight="false" outlineLevel="0" collapsed="false">
      <c r="C98" s="29" t="n">
        <f aca="false">C95+C96</f>
        <v>1106400</v>
      </c>
      <c r="D98" s="29" t="n">
        <f aca="false">D95+D96</f>
        <v>2980800</v>
      </c>
      <c r="E98" s="29" t="n">
        <f aca="false">E95+E96</f>
        <v>5980800</v>
      </c>
      <c r="F98" s="29" t="n">
        <f aca="false">F95+F96</f>
        <v>8733600</v>
      </c>
      <c r="G98" s="29" t="n">
        <f aca="false">G95+G96</f>
        <v>13051200</v>
      </c>
    </row>
    <row r="99" customFormat="false" ht="15" hidden="false" customHeight="false" outlineLevel="0" collapsed="false">
      <c r="C99" s="29" t="n">
        <v>21137400</v>
      </c>
      <c r="D99" s="29" t="n">
        <v>35229000</v>
      </c>
      <c r="E99" s="29" t="n">
        <v>70458000</v>
      </c>
      <c r="F99" s="29" t="n">
        <v>140916000</v>
      </c>
      <c r="G99" s="29" t="n">
        <v>352290000</v>
      </c>
    </row>
    <row r="100" customFormat="false" ht="15" hidden="false" customHeight="false" outlineLevel="0" collapsed="false">
      <c r="C100" s="29" t="n">
        <v>2537400</v>
      </c>
      <c r="D100" s="29" t="n">
        <v>4229000</v>
      </c>
      <c r="E100" s="29" t="n">
        <v>8458000</v>
      </c>
      <c r="F100" s="29" t="n">
        <v>16916000</v>
      </c>
      <c r="G100" s="29" t="n">
        <v>42290000</v>
      </c>
    </row>
    <row r="101" customFormat="false" ht="15" hidden="false" customHeight="false" outlineLevel="0" collapsed="false">
      <c r="C101" s="29" t="n">
        <f aca="false">C99+C100*4</f>
        <v>31287000</v>
      </c>
      <c r="D101" s="29" t="n">
        <f aca="false">D99+D100*4</f>
        <v>52145000</v>
      </c>
      <c r="E101" s="29" t="n">
        <f aca="false">E99+E100*4</f>
        <v>104290000</v>
      </c>
      <c r="F101" s="29" t="n">
        <f aca="false">F99+F100*4</f>
        <v>208580000</v>
      </c>
      <c r="G101" s="29" t="n">
        <f aca="false">G99+G100*4</f>
        <v>521450000</v>
      </c>
    </row>
    <row r="102" customFormat="false" ht="15" hidden="false" customHeight="false" outlineLevel="0" collapsed="false">
      <c r="C102" s="29" t="n">
        <f aca="false">C94+C98*5+C97</f>
        <v>12481700</v>
      </c>
      <c r="D102" s="29" t="n">
        <f aca="false">D94+D98*5+D97</f>
        <v>26643500</v>
      </c>
      <c r="E102" s="29" t="n">
        <f aca="false">E94+E98*5+E97</f>
        <v>50083000</v>
      </c>
      <c r="F102" s="29" t="n">
        <f aca="false">F94+F98*5+F97</f>
        <v>82706000</v>
      </c>
      <c r="G102" s="29" t="n">
        <f aca="false">G94+G98*5+G97</f>
        <v>148581000</v>
      </c>
    </row>
    <row r="103" customFormat="false" ht="15" hidden="false" customHeight="false" outlineLevel="0" collapsed="false">
      <c r="C103" s="29" t="n">
        <f aca="false">C101-C102</f>
        <v>18805300</v>
      </c>
      <c r="D103" s="29" t="n">
        <f aca="false">D101-D102</f>
        <v>25501500</v>
      </c>
      <c r="E103" s="29" t="n">
        <f aca="false">E101-E102</f>
        <v>54207000</v>
      </c>
      <c r="F103" s="29" t="n">
        <f aca="false">F101-F102</f>
        <v>125874000</v>
      </c>
      <c r="G103" s="29" t="n">
        <f aca="false">G101-G102</f>
        <v>372869000</v>
      </c>
    </row>
    <row r="104" customFormat="false" ht="15" hidden="false" customHeight="false" outlineLevel="0" collapsed="false">
      <c r="C104" s="29" t="n">
        <f aca="false">(C99-C94)/C99</f>
        <v>0.716142950410173</v>
      </c>
      <c r="D104" s="29" t="n">
        <f aca="false">(D99-D94)/D99</f>
        <v>0.716142950410173</v>
      </c>
      <c r="E104" s="29" t="n">
        <f aca="false">(E99-E94)/E99</f>
        <v>0.758721507848647</v>
      </c>
      <c r="F104" s="29" t="n">
        <f aca="false">(F99-F94)/F99</f>
        <v>0.758721507848647</v>
      </c>
      <c r="G104" s="29" t="n">
        <f aca="false">(G99-G94)/G99</f>
        <v>0.792500496749837</v>
      </c>
    </row>
    <row r="105" customFormat="false" ht="15" hidden="false" customHeight="false" outlineLevel="0" collapsed="false">
      <c r="C105" s="29" t="n">
        <f aca="false">(C99-C94-C98)/C99</f>
        <v>0.663799710465809</v>
      </c>
      <c r="D105" s="29" t="n">
        <f aca="false">(D99-D94-D98)/D99</f>
        <v>0.631530841068438</v>
      </c>
      <c r="E105" s="29" t="n">
        <f aca="false">(E99-E94-E98)/E99</f>
        <v>0.673836895739306</v>
      </c>
      <c r="F105" s="29" t="n">
        <f aca="false">(F99-F94-F98)/F99</f>
        <v>0.696744159641205</v>
      </c>
      <c r="G105" s="29" t="n">
        <f aca="false">(G99-G94-G98)/G99</f>
        <v>0.755453745493769</v>
      </c>
    </row>
    <row r="106" customFormat="false" ht="15" hidden="false" customHeight="false" outlineLevel="0" collapsed="false">
      <c r="C106" s="29" t="n">
        <f aca="false">C105</f>
        <v>0.663799710465809</v>
      </c>
      <c r="D106" s="29" t="n">
        <f aca="false">D105</f>
        <v>0.631530841068438</v>
      </c>
      <c r="E106" s="29" t="n">
        <f aca="false">E105</f>
        <v>0.673836895739306</v>
      </c>
      <c r="F106" s="29" t="n">
        <f aca="false">F105</f>
        <v>0.696744159641205</v>
      </c>
      <c r="G106" s="29" t="n">
        <f aca="false">G105</f>
        <v>0.755453745493769</v>
      </c>
    </row>
    <row r="107" customFormat="false" ht="15" hidden="false" customHeight="false" outlineLevel="0" collapsed="false">
      <c r="C107" s="29" t="n">
        <f aca="false">(C94+C98+C97)/(C99/365)</f>
        <v>139.112497279703</v>
      </c>
      <c r="D107" s="29" t="n">
        <f aca="false">(D94+D98+D97)/(D99/365)</f>
        <v>152.513823838315</v>
      </c>
      <c r="E107" s="29" t="n">
        <f aca="false">(E94+E98+E97)/(E99/365)</f>
        <v>135.517996536944</v>
      </c>
      <c r="F107" s="29" t="n">
        <f aca="false">(F94+F98+F97)/(F99/365)</f>
        <v>123.737787050441</v>
      </c>
      <c r="G107" s="29" t="n">
        <f aca="false">(G94+G98+G97)/(G99/365)</f>
        <v>99.8532828067785</v>
      </c>
    </row>
    <row r="110" customFormat="false" ht="15" hidden="false" customHeight="false" outlineLevel="0" collapsed="false">
      <c r="C110" s="29" t="s">
        <v>49</v>
      </c>
      <c r="D110" s="29" t="s">
        <v>50</v>
      </c>
      <c r="E110" s="29" t="s">
        <v>51</v>
      </c>
      <c r="F110" s="29" t="s">
        <v>52</v>
      </c>
      <c r="G110" s="29" t="s">
        <v>53</v>
      </c>
    </row>
    <row r="111" customFormat="false" ht="15" hidden="false" customHeight="false" outlineLevel="0" collapsed="false">
      <c r="B111" s="29" t="s">
        <v>54</v>
      </c>
      <c r="C111" s="29" t="n">
        <f aca="false">INDEX($C$99:$G$99,1,$C$91)/1000000</f>
        <v>70.458</v>
      </c>
      <c r="D111" s="29" t="n">
        <f aca="false">INDEX($C$100:$G$100,1,$C$91)/1000000</f>
        <v>8.458</v>
      </c>
      <c r="E111" s="29" t="n">
        <f aca="false">INDEX($C$100:$G$100,1,$C$91)/1000000</f>
        <v>8.458</v>
      </c>
      <c r="F111" s="29" t="n">
        <f aca="false">INDEX($C$100:$G$100,1,$C$91)/1000000</f>
        <v>8.458</v>
      </c>
      <c r="G111" s="29" t="n">
        <f aca="false">INDEX($C$100:$G$100,1,$C$91)/1000000</f>
        <v>8.458</v>
      </c>
    </row>
    <row r="112" customFormat="false" ht="15" hidden="false" customHeight="false" outlineLevel="0" collapsed="false">
      <c r="B112" s="29" t="s">
        <v>55</v>
      </c>
      <c r="C112" s="29" t="n">
        <f aca="false">(INDEX($C$94:$G$94,1,$C$91)+INDEX($C$98:$G$98,1,$C$91)+INDEX($C$97:$G$97,1,$C$91))/1000000</f>
        <v>26.1598</v>
      </c>
      <c r="D112" s="29" t="n">
        <f aca="false">INDEX($C$98:$G$98,1,$C$91)/1000000</f>
        <v>5.9808</v>
      </c>
      <c r="E112" s="29" t="n">
        <f aca="false">INDEX($C$98:$G$98,1,$C$91)/1000000</f>
        <v>5.9808</v>
      </c>
      <c r="F112" s="29" t="n">
        <f aca="false">INDEX($C$98:$G$98,1,$C$91)/1000000</f>
        <v>5.9808</v>
      </c>
      <c r="G112" s="29" t="n">
        <f aca="false">INDEX($C$98:$G$98,1,$C$91)/1000000</f>
        <v>5.9808</v>
      </c>
    </row>
    <row r="113" customFormat="false" ht="15" hidden="false" customHeight="false" outlineLevel="0" collapsed="false">
      <c r="B113" s="29" t="s">
        <v>40</v>
      </c>
      <c r="C113" s="29" t="n">
        <f aca="false">C111-C112</f>
        <v>44.2982</v>
      </c>
      <c r="D113" s="29" t="n">
        <f aca="false">D111-D112</f>
        <v>2.4772</v>
      </c>
      <c r="E113" s="29" t="n">
        <f aca="false">E111-E112</f>
        <v>2.4772</v>
      </c>
      <c r="F113" s="29" t="n">
        <f aca="false">F111-F112</f>
        <v>2.4772</v>
      </c>
      <c r="G113" s="29" t="n">
        <f aca="false">G111-G112</f>
        <v>2.4772</v>
      </c>
    </row>
    <row r="114" customFormat="false" ht="15" hidden="false" customHeight="false" outlineLevel="0" collapsed="false">
      <c r="B114" s="29" t="s">
        <v>56</v>
      </c>
      <c r="C114" s="29" t="n">
        <f aca="false">C111</f>
        <v>70.458</v>
      </c>
      <c r="D114" s="29" t="n">
        <f aca="false">C114+D111</f>
        <v>78.916</v>
      </c>
      <c r="E114" s="29" t="n">
        <f aca="false">D114+E111</f>
        <v>87.374</v>
      </c>
      <c r="F114" s="29" t="n">
        <f aca="false">E114+F111</f>
        <v>95.832</v>
      </c>
      <c r="G114" s="29" t="n">
        <f aca="false">F114+G111</f>
        <v>104.29</v>
      </c>
    </row>
    <row r="115" customFormat="false" ht="15" hidden="false" customHeight="false" outlineLevel="0" collapsed="false">
      <c r="B115" s="29" t="s">
        <v>57</v>
      </c>
      <c r="C115" s="29" t="n">
        <f aca="false">C113</f>
        <v>44.2982</v>
      </c>
      <c r="D115" s="29" t="n">
        <f aca="false">C115+D113</f>
        <v>46.7754</v>
      </c>
      <c r="E115" s="29" t="n">
        <f aca="false">D115+E113</f>
        <v>49.2526</v>
      </c>
      <c r="F115" s="29" t="n">
        <f aca="false">E115+F113</f>
        <v>51.7298</v>
      </c>
      <c r="G115" s="29" t="n">
        <f aca="false">F115+G113</f>
        <v>54.207</v>
      </c>
    </row>
    <row r="120" customFormat="false" ht="15" hidden="false" customHeight="false" outlineLevel="0" collapsed="false">
      <c r="C120" s="29" t="s">
        <v>40</v>
      </c>
      <c r="D120" s="29" t="s">
        <v>58</v>
      </c>
      <c r="E120" s="29" t="s">
        <v>59</v>
      </c>
      <c r="F120" s="29" t="s">
        <v>60</v>
      </c>
    </row>
    <row r="121" customFormat="false" ht="15" hidden="false" customHeight="false" outlineLevel="0" collapsed="false">
      <c r="C121" s="29" t="n">
        <f aca="false">INDEX($C$99:$G$99,1,$C$91)-INDEX($C$94:$G$94,1,$C$91)-INDEX($C$98:$G$98,1,$C$91)-INDEX($C$97:$G$97,1,$C$91)</f>
        <v>44298200</v>
      </c>
      <c r="D121" s="29" t="n">
        <f aca="false">INDEX($C$98:$G$98,1,$C$91)</f>
        <v>5980800</v>
      </c>
      <c r="E121" s="29" t="n">
        <f aca="false">INDEX($C$94:$G$94,1,$C$91)</f>
        <v>17000000</v>
      </c>
      <c r="F121" s="29" t="n">
        <f aca="false">INDEX($C$97:$G$97,1,$C$91)</f>
        <v>3179000</v>
      </c>
    </row>
    <row r="125" customFormat="false" ht="15" hidden="false" customHeight="false" outlineLevel="0" collapsed="false">
      <c r="C125" s="29" t="s">
        <v>5</v>
      </c>
      <c r="D125" s="29" t="s">
        <v>61</v>
      </c>
      <c r="E125" s="29" t="s">
        <v>62</v>
      </c>
    </row>
    <row r="126" customFormat="false" ht="15" hidden="false" customHeight="false" outlineLevel="0" collapsed="false">
      <c r="C126" s="29" t="n">
        <f aca="false">INDEX($C$104:$G$104,1,$C$91)</f>
        <v>0.758721507848647</v>
      </c>
      <c r="D126" s="29" t="n">
        <f aca="false">INDEX($C$105:$G$105,1,$C$91)</f>
        <v>0.673836895739306</v>
      </c>
      <c r="E126" s="29" t="n">
        <f aca="false">INDEX($C$106:$G$106,1,$C$91)</f>
        <v>0.673836895739306</v>
      </c>
    </row>
    <row r="130" customFormat="false" ht="15" hidden="false" customHeight="false" outlineLevel="0" collapsed="false">
      <c r="C130" s="29" t="s">
        <v>34</v>
      </c>
      <c r="D130" s="29" t="s">
        <v>35</v>
      </c>
      <c r="E130" s="29" t="s">
        <v>36</v>
      </c>
      <c r="F130" s="29" t="s">
        <v>37</v>
      </c>
      <c r="G130" s="29" t="s">
        <v>38</v>
      </c>
    </row>
    <row r="131" customFormat="false" ht="15" hidden="false" customHeight="false" outlineLevel="0" collapsed="false">
      <c r="C131" s="29" t="n">
        <f aca="false">C101/1000000</f>
        <v>31.287</v>
      </c>
      <c r="D131" s="29" t="n">
        <f aca="false">D101/1000000</f>
        <v>52.145</v>
      </c>
      <c r="E131" s="29" t="n">
        <f aca="false">E101/1000000</f>
        <v>104.29</v>
      </c>
      <c r="F131" s="29" t="n">
        <f aca="false">F101/1000000</f>
        <v>208.58</v>
      </c>
      <c r="G131" s="29" t="n">
        <f aca="false">G101/1000000</f>
        <v>521.45</v>
      </c>
    </row>
    <row r="132" customFormat="false" ht="15" hidden="false" customHeight="false" outlineLevel="0" collapsed="false">
      <c r="C132" s="29" t="n">
        <f aca="false">C102/1000000</f>
        <v>12.4817</v>
      </c>
      <c r="D132" s="29" t="n">
        <f aca="false">D102/1000000</f>
        <v>26.6435</v>
      </c>
      <c r="E132" s="29" t="n">
        <f aca="false">E102/1000000</f>
        <v>50.083</v>
      </c>
      <c r="F132" s="29" t="n">
        <f aca="false">F102/1000000</f>
        <v>82.706</v>
      </c>
      <c r="G132" s="29" t="n">
        <f aca="false">G102/1000000</f>
        <v>148.581</v>
      </c>
    </row>
    <row r="133" customFormat="false" ht="15" hidden="false" customHeight="false" outlineLevel="0" collapsed="false">
      <c r="C133" s="29" t="n">
        <f aca="false">C103/1000000</f>
        <v>18.8053</v>
      </c>
      <c r="D133" s="29" t="n">
        <f aca="false">D103/1000000</f>
        <v>25.5015</v>
      </c>
      <c r="E133" s="29" t="n">
        <f aca="false">E103/1000000</f>
        <v>54.207</v>
      </c>
      <c r="F133" s="29" t="n">
        <f aca="false">F103/1000000</f>
        <v>125.874</v>
      </c>
      <c r="G133" s="29" t="n">
        <f aca="false">G103/1000000</f>
        <v>372.869</v>
      </c>
    </row>
    <row r="135" customFormat="false" ht="15" hidden="false" customHeight="false" outlineLevel="0" collapsed="false">
      <c r="C135" s="29" t="n">
        <v>5</v>
      </c>
      <c r="D135" s="29" t="n">
        <v>14</v>
      </c>
      <c r="E135" s="29" t="n">
        <v>28</v>
      </c>
      <c r="F135" s="29" t="n">
        <v>42</v>
      </c>
      <c r="G135" s="29" t="n">
        <v>62</v>
      </c>
    </row>
    <row r="140" customFormat="false" ht="15" hidden="false" customHeight="false" outlineLevel="0" collapsed="false">
      <c r="C140" s="29" t="s">
        <v>63</v>
      </c>
      <c r="D140" s="29" t="s">
        <v>64</v>
      </c>
      <c r="E140" s="29" t="s">
        <v>65</v>
      </c>
      <c r="F140" s="29" t="s">
        <v>66</v>
      </c>
    </row>
    <row r="141" customFormat="false" ht="15" hidden="false" customHeight="false" outlineLevel="0" collapsed="false">
      <c r="C141" s="29" t="n">
        <f aca="false">INDEX($C$145:$G$145,1,$C$91)</f>
        <v>0.48</v>
      </c>
      <c r="D141" s="29" t="n">
        <f aca="false">INDEX($C$146:$G$146,1,$C$91)</f>
        <v>0.24</v>
      </c>
      <c r="E141" s="29" t="n">
        <f aca="false">INDEX($C$147:$G$147,1,$C$91)</f>
        <v>0.12</v>
      </c>
      <c r="F141" s="29" t="n">
        <f aca="false">INDEX($C$148:$G$148,1,$C$91)</f>
        <v>5.1408</v>
      </c>
    </row>
    <row r="145" customFormat="false" ht="15" hidden="false" customHeight="false" outlineLevel="0" collapsed="false">
      <c r="C145" s="29" t="n">
        <v>0.144</v>
      </c>
      <c r="D145" s="29" t="n">
        <v>0.24</v>
      </c>
      <c r="E145" s="29" t="n">
        <v>0.48</v>
      </c>
      <c r="F145" s="29" t="n">
        <v>0.96</v>
      </c>
      <c r="G145" s="29" t="n">
        <v>2.4</v>
      </c>
    </row>
    <row r="146" customFormat="false" ht="15" hidden="false" customHeight="false" outlineLevel="0" collapsed="false">
      <c r="C146" s="29" t="n">
        <v>0.06</v>
      </c>
      <c r="D146" s="29" t="n">
        <v>0.12</v>
      </c>
      <c r="E146" s="29" t="n">
        <v>0.24</v>
      </c>
      <c r="F146" s="29" t="n">
        <v>0.36</v>
      </c>
      <c r="G146" s="29" t="n">
        <v>0.6</v>
      </c>
    </row>
    <row r="147" customFormat="false" ht="15" hidden="false" customHeight="false" outlineLevel="0" collapsed="false">
      <c r="C147" s="29" t="n">
        <v>0.036</v>
      </c>
      <c r="D147" s="29" t="n">
        <v>0.06</v>
      </c>
      <c r="E147" s="29" t="n">
        <v>0.12</v>
      </c>
      <c r="F147" s="29" t="n">
        <v>0.24</v>
      </c>
      <c r="G147" s="29" t="n">
        <v>0.48</v>
      </c>
    </row>
    <row r="148" customFormat="false" ht="15" hidden="false" customHeight="false" outlineLevel="0" collapsed="false">
      <c r="C148" s="29" t="n">
        <v>0.8664</v>
      </c>
      <c r="D148" s="29" t="n">
        <v>2.5608</v>
      </c>
      <c r="E148" s="29" t="n">
        <v>5.1408</v>
      </c>
      <c r="F148" s="29" t="n">
        <v>7.1736</v>
      </c>
      <c r="G148" s="29" t="n">
        <v>9.5712</v>
      </c>
    </row>
  </sheetData>
  <mergeCells count="26">
    <mergeCell ref="B2:O2"/>
    <mergeCell ref="B3:O3"/>
    <mergeCell ref="B5:C5"/>
    <mergeCell ref="F5:G5"/>
    <mergeCell ref="I5:J5"/>
    <mergeCell ref="L5:M5"/>
    <mergeCell ref="N5:O5"/>
    <mergeCell ref="B6:C6"/>
    <mergeCell ref="F6:G6"/>
    <mergeCell ref="I6:J6"/>
    <mergeCell ref="L6:M6"/>
    <mergeCell ref="N6:O6"/>
    <mergeCell ref="B8:D8"/>
    <mergeCell ref="B17:D17"/>
    <mergeCell ref="B23:D23"/>
    <mergeCell ref="B28:D28"/>
    <mergeCell ref="B42:O42"/>
    <mergeCell ref="B43:D43"/>
    <mergeCell ref="B44:D44"/>
    <mergeCell ref="B45:D45"/>
    <mergeCell ref="B46:D46"/>
    <mergeCell ref="B47:D47"/>
    <mergeCell ref="B48:D48"/>
    <mergeCell ref="B49:D49"/>
    <mergeCell ref="B51:O51"/>
    <mergeCell ref="B66:O66"/>
  </mergeCells>
  <dataValidations count="1">
    <dataValidation allowBlank="false" errorStyle="stop" operator="between" prompt="Select scenario" promptTitle="Rollout" showDropDown="false" showErrorMessage="false" showInputMessage="false" sqref="N6" type="list">
      <formula1>$C$90:$G$90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30" t="s">
        <v>67</v>
      </c>
    </row>
    <row r="3" customFormat="false" ht="28.35" hidden="false" customHeight="false" outlineLevel="0" collapsed="false">
      <c r="A3" s="31" t="s">
        <v>68</v>
      </c>
      <c r="B3" s="31" t="s">
        <v>69</v>
      </c>
      <c r="C3" s="31" t="s">
        <v>70</v>
      </c>
      <c r="D3" s="31" t="s">
        <v>71</v>
      </c>
      <c r="E3" s="31" t="s">
        <v>72</v>
      </c>
    </row>
    <row r="4" customFormat="false" ht="15" hidden="false" customHeight="false" outlineLevel="0" collapsed="false">
      <c r="A4" s="32" t="s">
        <v>73</v>
      </c>
      <c r="B4" s="32" t="s">
        <v>74</v>
      </c>
      <c r="C4" s="32" t="s">
        <v>75</v>
      </c>
      <c r="D4" s="32" t="s">
        <v>76</v>
      </c>
      <c r="E4" s="33" t="n">
        <v>5500</v>
      </c>
    </row>
    <row r="5" customFormat="false" ht="15" hidden="false" customHeight="false" outlineLevel="0" collapsed="false">
      <c r="A5" s="32" t="s">
        <v>77</v>
      </c>
      <c r="B5" s="32" t="s">
        <v>78</v>
      </c>
      <c r="C5" s="32" t="s">
        <v>75</v>
      </c>
      <c r="D5" s="32" t="s">
        <v>79</v>
      </c>
      <c r="E5" s="33" t="n">
        <v>700</v>
      </c>
    </row>
    <row r="6" customFormat="false" ht="15" hidden="false" customHeight="false" outlineLevel="0" collapsed="false">
      <c r="A6" s="32" t="s">
        <v>80</v>
      </c>
      <c r="B6" s="32" t="s">
        <v>81</v>
      </c>
      <c r="C6" s="32" t="s">
        <v>82</v>
      </c>
      <c r="D6" s="32" t="s">
        <v>83</v>
      </c>
      <c r="E6" s="33" t="n">
        <v>25</v>
      </c>
    </row>
    <row r="7" customFormat="false" ht="15" hidden="false" customHeight="false" outlineLevel="0" collapsed="false">
      <c r="A7" s="32" t="s">
        <v>84</v>
      </c>
      <c r="B7" s="32" t="s">
        <v>85</v>
      </c>
      <c r="C7" s="32" t="s">
        <v>86</v>
      </c>
      <c r="D7" s="32" t="s">
        <v>87</v>
      </c>
      <c r="E7" s="33" t="n">
        <v>90</v>
      </c>
    </row>
    <row r="8" customFormat="false" ht="15" hidden="false" customHeight="false" outlineLevel="0" collapsed="false">
      <c r="A8" s="32" t="s">
        <v>88</v>
      </c>
      <c r="B8" s="32" t="s">
        <v>89</v>
      </c>
      <c r="C8" s="32" t="s">
        <v>90</v>
      </c>
      <c r="D8" s="32" t="s">
        <v>87</v>
      </c>
      <c r="E8" s="33" t="n">
        <v>30</v>
      </c>
    </row>
    <row r="9" customFormat="false" ht="15" hidden="false" customHeight="false" outlineLevel="0" collapsed="false">
      <c r="A9" s="32" t="s">
        <v>91</v>
      </c>
      <c r="B9" s="32" t="s">
        <v>92</v>
      </c>
      <c r="C9" s="32" t="s">
        <v>93</v>
      </c>
      <c r="D9" s="32" t="s">
        <v>87</v>
      </c>
      <c r="E9" s="33" t="n">
        <v>624</v>
      </c>
    </row>
    <row r="10" customFormat="false" ht="15" hidden="false" customHeight="false" outlineLevel="0" collapsed="false">
      <c r="A10" s="32" t="s">
        <v>94</v>
      </c>
      <c r="B10" s="32" t="s">
        <v>95</v>
      </c>
      <c r="C10" s="32" t="s">
        <v>96</v>
      </c>
      <c r="D10" s="32" t="s">
        <v>87</v>
      </c>
      <c r="E10" s="33" t="n">
        <v>76.8</v>
      </c>
    </row>
    <row r="11" customFormat="false" ht="15" hidden="false" customHeight="false" outlineLevel="0" collapsed="false">
      <c r="A11" s="34" t="s">
        <v>97</v>
      </c>
      <c r="B11" s="35"/>
      <c r="C11" s="35"/>
      <c r="D11" s="35"/>
      <c r="E11" s="36" t="n">
        <f aca="false">SUM(E4:E10)</f>
        <v>7045.8</v>
      </c>
    </row>
    <row r="14" customFormat="false" ht="17.35" hidden="false" customHeight="false" outlineLevel="0" collapsed="false">
      <c r="A14" s="30" t="s">
        <v>98</v>
      </c>
    </row>
    <row r="15" customFormat="false" ht="28.35" hidden="false" customHeight="false" outlineLevel="0" collapsed="false">
      <c r="A15" s="31" t="s">
        <v>99</v>
      </c>
      <c r="B15" s="31" t="s">
        <v>45</v>
      </c>
      <c r="C15" s="31" t="s">
        <v>46</v>
      </c>
      <c r="D15" s="31" t="s">
        <v>7</v>
      </c>
      <c r="E15" s="31" t="s">
        <v>47</v>
      </c>
      <c r="F15" s="31" t="s">
        <v>48</v>
      </c>
    </row>
    <row r="16" customFormat="false" ht="15" hidden="false" customHeight="false" outlineLevel="0" collapsed="false">
      <c r="A16" s="32" t="s">
        <v>50</v>
      </c>
      <c r="B16" s="37" t="n">
        <v>2537400</v>
      </c>
      <c r="C16" s="37" t="n">
        <v>4229000</v>
      </c>
      <c r="D16" s="37" t="n">
        <v>8458000</v>
      </c>
      <c r="E16" s="37" t="n">
        <v>16916000</v>
      </c>
      <c r="F16" s="37" t="n">
        <v>42290000</v>
      </c>
    </row>
    <row r="17" customFormat="false" ht="15" hidden="false" customHeight="false" outlineLevel="0" collapsed="false">
      <c r="A17" s="32" t="s">
        <v>51</v>
      </c>
      <c r="B17" s="37" t="n">
        <v>2537400</v>
      </c>
      <c r="C17" s="37" t="n">
        <v>4229000</v>
      </c>
      <c r="D17" s="37" t="n">
        <v>8458000</v>
      </c>
      <c r="E17" s="37" t="n">
        <v>16916000</v>
      </c>
      <c r="F17" s="37" t="n">
        <v>42290000</v>
      </c>
    </row>
    <row r="18" customFormat="false" ht="15" hidden="false" customHeight="false" outlineLevel="0" collapsed="false">
      <c r="A18" s="32" t="s">
        <v>52</v>
      </c>
      <c r="B18" s="37" t="n">
        <v>2537400</v>
      </c>
      <c r="C18" s="37" t="n">
        <v>4229000</v>
      </c>
      <c r="D18" s="37" t="n">
        <v>8458000</v>
      </c>
      <c r="E18" s="37" t="n">
        <v>16916000</v>
      </c>
      <c r="F18" s="37" t="n">
        <v>42290000</v>
      </c>
    </row>
    <row r="19" customFormat="false" ht="15" hidden="false" customHeight="false" outlineLevel="0" collapsed="false">
      <c r="A19" s="32" t="s">
        <v>53</v>
      </c>
      <c r="B19" s="37" t="n">
        <v>2537400</v>
      </c>
      <c r="C19" s="37" t="n">
        <v>4229000</v>
      </c>
      <c r="D19" s="37" t="n">
        <v>8458000</v>
      </c>
      <c r="E19" s="37" t="n">
        <v>16916000</v>
      </c>
      <c r="F19" s="37" t="n">
        <v>42290000</v>
      </c>
    </row>
    <row r="21" customFormat="false" ht="15" hidden="false" customHeight="false" outlineLevel="0" collapsed="false">
      <c r="A21" s="38" t="s">
        <v>100</v>
      </c>
      <c r="B21" s="39" t="n">
        <f aca="false">SUM(B16:B20)</f>
        <v>10149600</v>
      </c>
      <c r="C21" s="39" t="n">
        <f aca="false">SUM(C16:C20)</f>
        <v>16916000</v>
      </c>
      <c r="D21" s="39" t="n">
        <f aca="false">SUM(D16:D20)</f>
        <v>33832000</v>
      </c>
      <c r="E21" s="39" t="n">
        <f aca="false">SUM(E16:E20)</f>
        <v>67664000</v>
      </c>
      <c r="F21" s="39" t="n">
        <f aca="false">SUM(F16:F20)</f>
        <v>169160000</v>
      </c>
    </row>
    <row r="23" customFormat="false" ht="17.35" hidden="false" customHeight="false" outlineLevel="0" collapsed="false">
      <c r="A23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6"/>
    <col collapsed="false" customWidth="true" hidden="false" outlineLevel="0" max="8" min="8" style="0" width="35"/>
    <col collapsed="false" customWidth="true" hidden="false" outlineLevel="0" max="10" min="9" style="0" width="16"/>
  </cols>
  <sheetData>
    <row r="1" customFormat="false" ht="28.35" hidden="false" customHeight="false" outlineLevel="0" collapsed="false">
      <c r="A1" s="31" t="s">
        <v>102</v>
      </c>
      <c r="B1" s="31" t="s">
        <v>45</v>
      </c>
      <c r="C1" s="31" t="s">
        <v>46</v>
      </c>
      <c r="D1" s="31" t="s">
        <v>7</v>
      </c>
      <c r="E1" s="31" t="s">
        <v>47</v>
      </c>
      <c r="F1" s="31" t="s">
        <v>48</v>
      </c>
      <c r="H1" s="31" t="s">
        <v>103</v>
      </c>
      <c r="I1" s="31" t="s">
        <v>104</v>
      </c>
      <c r="J1" s="31" t="s">
        <v>105</v>
      </c>
    </row>
    <row r="2" customFormat="false" ht="15" hidden="false" customHeight="false" outlineLevel="0" collapsed="false">
      <c r="A2" s="40" t="s">
        <v>106</v>
      </c>
      <c r="B2" s="41"/>
      <c r="C2" s="41"/>
      <c r="D2" s="41"/>
      <c r="E2" s="41"/>
      <c r="F2" s="41"/>
    </row>
    <row r="3" customFormat="false" ht="15" hidden="false" customHeight="false" outlineLevel="0" collapsed="false">
      <c r="A3" s="32" t="s">
        <v>107</v>
      </c>
      <c r="B3" s="42" t="n">
        <v>1</v>
      </c>
      <c r="C3" s="42" t="n">
        <v>1</v>
      </c>
      <c r="D3" s="42" t="n">
        <v>1</v>
      </c>
      <c r="E3" s="42" t="n">
        <v>1</v>
      </c>
      <c r="F3" s="42" t="n">
        <v>1</v>
      </c>
      <c r="H3" s="32" t="s">
        <v>107</v>
      </c>
      <c r="I3" s="37" t="n">
        <v>35000</v>
      </c>
      <c r="J3" s="37" t="n">
        <v>420000</v>
      </c>
    </row>
    <row r="4" customFormat="false" ht="15" hidden="false" customHeight="false" outlineLevel="0" collapsed="false">
      <c r="A4" s="32" t="s">
        <v>108</v>
      </c>
      <c r="B4" s="42" t="n">
        <v>0</v>
      </c>
      <c r="C4" s="42" t="n">
        <v>0</v>
      </c>
      <c r="D4" s="42" t="n">
        <v>1</v>
      </c>
      <c r="E4" s="42" t="n">
        <v>1</v>
      </c>
      <c r="F4" s="42" t="n">
        <v>1</v>
      </c>
      <c r="H4" s="32" t="s">
        <v>108</v>
      </c>
      <c r="I4" s="37" t="n">
        <v>28000</v>
      </c>
      <c r="J4" s="37" t="n">
        <v>336000</v>
      </c>
    </row>
    <row r="5" customFormat="false" ht="15" hidden="false" customHeight="false" outlineLevel="0" collapsed="false">
      <c r="A5" s="32" t="s">
        <v>109</v>
      </c>
      <c r="B5" s="42" t="n">
        <v>0</v>
      </c>
      <c r="C5" s="42" t="n">
        <v>1</v>
      </c>
      <c r="D5" s="42" t="n">
        <v>1</v>
      </c>
      <c r="E5" s="42" t="n">
        <v>1</v>
      </c>
      <c r="F5" s="42" t="n">
        <v>1</v>
      </c>
      <c r="H5" s="32" t="s">
        <v>109</v>
      </c>
      <c r="I5" s="37" t="n">
        <v>28000</v>
      </c>
      <c r="J5" s="37" t="n">
        <v>336000</v>
      </c>
    </row>
    <row r="6" customFormat="false" ht="15" hidden="false" customHeight="false" outlineLevel="0" collapsed="false">
      <c r="A6" s="32" t="s">
        <v>110</v>
      </c>
      <c r="B6" s="42" t="n">
        <v>0</v>
      </c>
      <c r="C6" s="42" t="n">
        <v>1</v>
      </c>
      <c r="D6" s="42" t="n">
        <v>1</v>
      </c>
      <c r="E6" s="42" t="n">
        <v>1</v>
      </c>
      <c r="F6" s="42" t="n">
        <v>1</v>
      </c>
      <c r="H6" s="32" t="s">
        <v>110</v>
      </c>
      <c r="I6" s="37" t="n">
        <v>30000</v>
      </c>
      <c r="J6" s="37" t="n">
        <v>360000</v>
      </c>
    </row>
    <row r="7" customFormat="false" ht="15" hidden="false" customHeight="false" outlineLevel="0" collapsed="false">
      <c r="A7" s="32" t="s">
        <v>111</v>
      </c>
      <c r="B7" s="42" t="n">
        <v>0</v>
      </c>
      <c r="C7" s="42" t="n">
        <v>0</v>
      </c>
      <c r="D7" s="42" t="n">
        <v>1</v>
      </c>
      <c r="E7" s="42" t="n">
        <v>1</v>
      </c>
      <c r="F7" s="42" t="n">
        <v>1</v>
      </c>
      <c r="H7" s="32" t="s">
        <v>111</v>
      </c>
      <c r="I7" s="37" t="n">
        <v>25000</v>
      </c>
      <c r="J7" s="37" t="n">
        <v>300000</v>
      </c>
    </row>
    <row r="8" customFormat="false" ht="15" hidden="false" customHeight="false" outlineLevel="0" collapsed="false">
      <c r="A8" s="32" t="s">
        <v>112</v>
      </c>
      <c r="B8" s="42" t="n">
        <v>0</v>
      </c>
      <c r="C8" s="42" t="n">
        <v>0</v>
      </c>
      <c r="D8" s="42" t="n">
        <v>0</v>
      </c>
      <c r="E8" s="42" t="n">
        <v>1</v>
      </c>
      <c r="F8" s="42" t="n">
        <v>1</v>
      </c>
      <c r="H8" s="32" t="s">
        <v>112</v>
      </c>
      <c r="I8" s="37" t="n">
        <v>22000</v>
      </c>
      <c r="J8" s="37" t="n">
        <v>264000</v>
      </c>
    </row>
    <row r="9" customFormat="false" ht="15" hidden="false" customHeight="false" outlineLevel="0" collapsed="false">
      <c r="A9" s="32" t="s">
        <v>113</v>
      </c>
      <c r="B9" s="42" t="n">
        <v>0</v>
      </c>
      <c r="C9" s="42" t="n">
        <v>0</v>
      </c>
      <c r="D9" s="42" t="n">
        <v>0</v>
      </c>
      <c r="E9" s="42" t="n">
        <v>1</v>
      </c>
      <c r="F9" s="42" t="n">
        <v>1</v>
      </c>
      <c r="H9" s="32" t="s">
        <v>113</v>
      </c>
      <c r="I9" s="37" t="n">
        <v>22000</v>
      </c>
      <c r="J9" s="37" t="n">
        <v>264000</v>
      </c>
    </row>
    <row r="10" customFormat="false" ht="15" hidden="false" customHeight="false" outlineLevel="0" collapsed="false">
      <c r="A10" s="40" t="s">
        <v>114</v>
      </c>
      <c r="B10" s="41"/>
      <c r="C10" s="41"/>
      <c r="D10" s="41"/>
      <c r="E10" s="41"/>
      <c r="F10" s="41"/>
    </row>
    <row r="11" customFormat="false" ht="15" hidden="false" customHeight="false" outlineLevel="0" collapsed="false">
      <c r="A11" s="32" t="s">
        <v>115</v>
      </c>
      <c r="B11" s="42" t="n">
        <v>0</v>
      </c>
      <c r="C11" s="42" t="n">
        <v>1</v>
      </c>
      <c r="D11" s="42" t="n">
        <v>1</v>
      </c>
      <c r="E11" s="42" t="n">
        <v>1</v>
      </c>
      <c r="F11" s="42" t="n">
        <v>1</v>
      </c>
      <c r="H11" s="32" t="s">
        <v>115</v>
      </c>
      <c r="I11" s="37" t="n">
        <v>20000</v>
      </c>
      <c r="J11" s="37" t="n">
        <v>240000</v>
      </c>
    </row>
    <row r="12" customFormat="false" ht="15" hidden="false" customHeight="false" outlineLevel="0" collapsed="false">
      <c r="A12" s="32" t="s">
        <v>116</v>
      </c>
      <c r="B12" s="42" t="n">
        <v>2</v>
      </c>
      <c r="C12" s="42" t="n">
        <v>3</v>
      </c>
      <c r="D12" s="42" t="n">
        <v>4</v>
      </c>
      <c r="E12" s="42" t="n">
        <v>5</v>
      </c>
      <c r="F12" s="42" t="n">
        <v>8</v>
      </c>
      <c r="H12" s="32" t="s">
        <v>116</v>
      </c>
      <c r="I12" s="37" t="n">
        <v>9000</v>
      </c>
      <c r="J12" s="37" t="n">
        <v>108000</v>
      </c>
    </row>
    <row r="13" customFormat="false" ht="15" hidden="false" customHeight="false" outlineLevel="0" collapsed="false">
      <c r="A13" s="32" t="s">
        <v>117</v>
      </c>
      <c r="B13" s="42" t="n">
        <v>0</v>
      </c>
      <c r="C13" s="42" t="n">
        <v>1</v>
      </c>
      <c r="D13" s="42" t="n">
        <v>1</v>
      </c>
      <c r="E13" s="42" t="n">
        <v>2</v>
      </c>
      <c r="F13" s="42" t="n">
        <v>3</v>
      </c>
      <c r="H13" s="32" t="s">
        <v>117</v>
      </c>
      <c r="I13" s="37" t="n">
        <v>11000</v>
      </c>
      <c r="J13" s="37" t="n">
        <v>132000</v>
      </c>
    </row>
    <row r="14" customFormat="false" ht="15" hidden="false" customHeight="false" outlineLevel="0" collapsed="false">
      <c r="A14" s="32" t="s">
        <v>118</v>
      </c>
      <c r="B14" s="42" t="n">
        <v>0</v>
      </c>
      <c r="C14" s="42" t="n">
        <v>0</v>
      </c>
      <c r="D14" s="42" t="n">
        <v>1</v>
      </c>
      <c r="E14" s="42" t="n">
        <v>1</v>
      </c>
      <c r="F14" s="42" t="n">
        <v>2</v>
      </c>
      <c r="H14" s="32" t="s">
        <v>118</v>
      </c>
      <c r="I14" s="37" t="n">
        <v>8000</v>
      </c>
      <c r="J14" s="37" t="n">
        <v>96000</v>
      </c>
    </row>
    <row r="15" customFormat="false" ht="15" hidden="false" customHeight="false" outlineLevel="0" collapsed="false">
      <c r="A15" s="40" t="s">
        <v>119</v>
      </c>
      <c r="B15" s="41"/>
      <c r="C15" s="41"/>
      <c r="D15" s="41"/>
      <c r="E15" s="41"/>
      <c r="F15" s="41"/>
    </row>
    <row r="16" customFormat="false" ht="15" hidden="false" customHeight="false" outlineLevel="0" collapsed="false">
      <c r="A16" s="32" t="s">
        <v>120</v>
      </c>
      <c r="B16" s="42" t="n">
        <v>0</v>
      </c>
      <c r="C16" s="42" t="n">
        <v>0</v>
      </c>
      <c r="D16" s="42" t="n">
        <v>1</v>
      </c>
      <c r="E16" s="42" t="n">
        <v>1</v>
      </c>
      <c r="F16" s="42" t="n">
        <v>1</v>
      </c>
      <c r="H16" s="32" t="s">
        <v>120</v>
      </c>
      <c r="I16" s="37" t="n">
        <v>22000</v>
      </c>
      <c r="J16" s="37" t="n">
        <v>264000</v>
      </c>
    </row>
    <row r="17" customFormat="false" ht="15" hidden="false" customHeight="false" outlineLevel="0" collapsed="false">
      <c r="A17" s="32" t="s">
        <v>121</v>
      </c>
      <c r="B17" s="42" t="n">
        <v>1</v>
      </c>
      <c r="C17" s="42" t="n">
        <v>1</v>
      </c>
      <c r="D17" s="42" t="n">
        <v>1</v>
      </c>
      <c r="E17" s="42" t="n">
        <v>3</v>
      </c>
      <c r="F17" s="42" t="n">
        <v>5</v>
      </c>
      <c r="H17" s="32" t="s">
        <v>121</v>
      </c>
      <c r="I17" s="37" t="n">
        <v>12000</v>
      </c>
      <c r="J17" s="37" t="n">
        <v>144000</v>
      </c>
    </row>
    <row r="18" customFormat="false" ht="15" hidden="false" customHeight="false" outlineLevel="0" collapsed="false">
      <c r="A18" s="32" t="s">
        <v>122</v>
      </c>
      <c r="B18" s="42" t="n">
        <v>0</v>
      </c>
      <c r="C18" s="42" t="n">
        <v>1</v>
      </c>
      <c r="D18" s="42" t="n">
        <v>2</v>
      </c>
      <c r="E18" s="42" t="n">
        <v>3</v>
      </c>
      <c r="F18" s="42" t="n">
        <v>5</v>
      </c>
      <c r="H18" s="32" t="s">
        <v>122</v>
      </c>
      <c r="I18" s="37" t="n">
        <v>15000</v>
      </c>
      <c r="J18" s="37" t="n">
        <v>180000</v>
      </c>
    </row>
    <row r="19" customFormat="false" ht="15" hidden="false" customHeight="false" outlineLevel="0" collapsed="false">
      <c r="A19" s="32" t="s">
        <v>123</v>
      </c>
      <c r="B19" s="42" t="n">
        <v>0</v>
      </c>
      <c r="C19" s="42" t="n">
        <v>0</v>
      </c>
      <c r="D19" s="42" t="n">
        <v>1</v>
      </c>
      <c r="E19" s="42" t="n">
        <v>2</v>
      </c>
      <c r="F19" s="42" t="n">
        <v>3</v>
      </c>
      <c r="H19" s="32" t="s">
        <v>123</v>
      </c>
      <c r="I19" s="37" t="n">
        <v>15000</v>
      </c>
      <c r="J19" s="37" t="n">
        <v>180000</v>
      </c>
    </row>
    <row r="20" customFormat="false" ht="15" hidden="false" customHeight="false" outlineLevel="0" collapsed="false">
      <c r="A20" s="40" t="s">
        <v>124</v>
      </c>
      <c r="B20" s="41"/>
      <c r="C20" s="41"/>
      <c r="D20" s="41"/>
      <c r="E20" s="41"/>
      <c r="F20" s="41"/>
    </row>
    <row r="21" customFormat="false" ht="15" hidden="false" customHeight="false" outlineLevel="0" collapsed="false">
      <c r="A21" s="32" t="s">
        <v>125</v>
      </c>
      <c r="B21" s="42" t="n">
        <v>0</v>
      </c>
      <c r="C21" s="42" t="n">
        <v>0</v>
      </c>
      <c r="D21" s="42" t="n">
        <v>1</v>
      </c>
      <c r="E21" s="42" t="n">
        <v>1</v>
      </c>
      <c r="F21" s="42" t="n">
        <v>1</v>
      </c>
      <c r="H21" s="32" t="s">
        <v>125</v>
      </c>
      <c r="I21" s="37" t="n">
        <v>18000</v>
      </c>
      <c r="J21" s="37" t="n">
        <v>216000</v>
      </c>
    </row>
    <row r="22" customFormat="false" ht="15" hidden="false" customHeight="false" outlineLevel="0" collapsed="false">
      <c r="A22" s="32" t="s">
        <v>126</v>
      </c>
      <c r="B22" s="42" t="n">
        <v>1</v>
      </c>
      <c r="C22" s="42" t="n">
        <v>2</v>
      </c>
      <c r="D22" s="42" t="n">
        <v>2</v>
      </c>
      <c r="E22" s="42" t="n">
        <v>4</v>
      </c>
      <c r="F22" s="42" t="n">
        <v>8</v>
      </c>
      <c r="H22" s="32" t="s">
        <v>126</v>
      </c>
      <c r="I22" s="37" t="n">
        <v>7200</v>
      </c>
      <c r="J22" s="37" t="n">
        <v>86400</v>
      </c>
    </row>
    <row r="23" customFormat="false" ht="15" hidden="false" customHeight="false" outlineLevel="0" collapsed="false">
      <c r="A23" s="32" t="s">
        <v>127</v>
      </c>
      <c r="B23" s="42" t="n">
        <v>0</v>
      </c>
      <c r="C23" s="42" t="n">
        <v>0</v>
      </c>
      <c r="D23" s="42" t="n">
        <v>1</v>
      </c>
      <c r="E23" s="42" t="n">
        <v>2</v>
      </c>
      <c r="F23" s="42" t="n">
        <v>3</v>
      </c>
      <c r="H23" s="32" t="s">
        <v>127</v>
      </c>
      <c r="I23" s="37" t="n">
        <v>9000</v>
      </c>
      <c r="J23" s="37" t="n">
        <v>108000</v>
      </c>
    </row>
    <row r="24" customFormat="false" ht="15" hidden="false" customHeight="false" outlineLevel="0" collapsed="false">
      <c r="A24" s="40" t="s">
        <v>128</v>
      </c>
      <c r="B24" s="41"/>
      <c r="C24" s="41"/>
      <c r="D24" s="41"/>
      <c r="E24" s="41"/>
      <c r="F24" s="41"/>
    </row>
    <row r="25" customFormat="false" ht="15" hidden="false" customHeight="false" outlineLevel="0" collapsed="false">
      <c r="A25" s="32" t="s">
        <v>129</v>
      </c>
      <c r="B25" s="42" t="n">
        <v>0</v>
      </c>
      <c r="C25" s="42" t="n">
        <v>0</v>
      </c>
      <c r="D25" s="42" t="n">
        <v>1</v>
      </c>
      <c r="E25" s="42" t="n">
        <v>1</v>
      </c>
      <c r="F25" s="42" t="n">
        <v>1</v>
      </c>
      <c r="H25" s="32" t="s">
        <v>129</v>
      </c>
      <c r="I25" s="37" t="n">
        <v>20000</v>
      </c>
      <c r="J25" s="37" t="n">
        <v>240000</v>
      </c>
    </row>
    <row r="26" customFormat="false" ht="15" hidden="false" customHeight="false" outlineLevel="0" collapsed="false">
      <c r="A26" s="32" t="s">
        <v>130</v>
      </c>
      <c r="B26" s="42" t="n">
        <v>0</v>
      </c>
      <c r="C26" s="42" t="n">
        <v>1</v>
      </c>
      <c r="D26" s="42" t="n">
        <v>2</v>
      </c>
      <c r="E26" s="42" t="n">
        <v>3</v>
      </c>
      <c r="F26" s="42" t="n">
        <v>5</v>
      </c>
      <c r="H26" s="32" t="s">
        <v>130</v>
      </c>
      <c r="I26" s="37" t="n">
        <v>10000</v>
      </c>
      <c r="J26" s="37" t="n">
        <v>120000</v>
      </c>
    </row>
    <row r="27" customFormat="false" ht="15" hidden="false" customHeight="false" outlineLevel="0" collapsed="false">
      <c r="A27" s="32" t="s">
        <v>131</v>
      </c>
      <c r="B27" s="42" t="n">
        <v>0</v>
      </c>
      <c r="C27" s="42" t="n">
        <v>0</v>
      </c>
      <c r="D27" s="42" t="n">
        <v>1</v>
      </c>
      <c r="E27" s="42" t="n">
        <v>1</v>
      </c>
      <c r="F27" s="42" t="n">
        <v>2</v>
      </c>
      <c r="H27" s="32" t="s">
        <v>131</v>
      </c>
      <c r="I27" s="37" t="n">
        <v>9000</v>
      </c>
      <c r="J27" s="37" t="n">
        <v>108000</v>
      </c>
    </row>
    <row r="28" customFormat="false" ht="15" hidden="false" customHeight="false" outlineLevel="0" collapsed="false">
      <c r="A28" s="40" t="s">
        <v>132</v>
      </c>
      <c r="B28" s="41"/>
      <c r="C28" s="41"/>
      <c r="D28" s="41"/>
      <c r="E28" s="41"/>
      <c r="F28" s="41"/>
    </row>
    <row r="29" customFormat="false" ht="15" hidden="false" customHeight="false" outlineLevel="0" collapsed="false">
      <c r="A29" s="32" t="s">
        <v>133</v>
      </c>
      <c r="B29" s="42" t="n">
        <v>0</v>
      </c>
      <c r="C29" s="42" t="n">
        <v>0</v>
      </c>
      <c r="D29" s="42" t="n">
        <v>1</v>
      </c>
      <c r="E29" s="42" t="n">
        <v>1</v>
      </c>
      <c r="F29" s="42" t="n">
        <v>1</v>
      </c>
      <c r="H29" s="32" t="s">
        <v>133</v>
      </c>
      <c r="I29" s="37" t="n">
        <v>20000</v>
      </c>
      <c r="J29" s="37" t="n">
        <v>240000</v>
      </c>
    </row>
    <row r="30" customFormat="false" ht="15" hidden="false" customHeight="false" outlineLevel="0" collapsed="false">
      <c r="A30" s="32" t="s">
        <v>134</v>
      </c>
      <c r="B30" s="42" t="n">
        <v>0</v>
      </c>
      <c r="C30" s="42" t="n">
        <v>1</v>
      </c>
      <c r="D30" s="42" t="n">
        <v>1</v>
      </c>
      <c r="E30" s="42" t="n">
        <v>2</v>
      </c>
      <c r="F30" s="42" t="n">
        <v>3</v>
      </c>
      <c r="H30" s="32" t="s">
        <v>134</v>
      </c>
      <c r="I30" s="37" t="n">
        <v>11000</v>
      </c>
      <c r="J30" s="37" t="n">
        <v>132000</v>
      </c>
    </row>
    <row r="31" customFormat="false" ht="15" hidden="false" customHeight="false" outlineLevel="0" collapsed="false">
      <c r="A31" s="32" t="s">
        <v>135</v>
      </c>
      <c r="B31" s="42" t="n">
        <v>0</v>
      </c>
      <c r="C31" s="42" t="n">
        <v>0</v>
      </c>
      <c r="D31" s="42" t="n">
        <v>1</v>
      </c>
      <c r="E31" s="42" t="n">
        <v>2</v>
      </c>
      <c r="F31" s="42" t="n">
        <v>3</v>
      </c>
      <c r="H31" s="32" t="s">
        <v>135</v>
      </c>
      <c r="I31" s="37" t="n">
        <v>7000</v>
      </c>
      <c r="J31" s="37" t="n">
        <v>84000</v>
      </c>
    </row>
    <row r="33" customFormat="false" ht="15" hidden="false" customHeight="false" outlineLevel="0" collapsed="false">
      <c r="A33" s="38" t="s">
        <v>136</v>
      </c>
      <c r="B33" s="43" t="n">
        <v>5</v>
      </c>
      <c r="C33" s="43" t="n">
        <v>14</v>
      </c>
      <c r="D33" s="43" t="n">
        <v>28</v>
      </c>
      <c r="E33" s="43" t="n">
        <v>42</v>
      </c>
      <c r="F33" s="43" t="n">
        <v>62</v>
      </c>
    </row>
    <row r="36" customFormat="false" ht="17.35" hidden="false" customHeight="false" outlineLevel="0" collapsed="false">
      <c r="A36" s="30" t="s">
        <v>137</v>
      </c>
    </row>
    <row r="37" customFormat="false" ht="28.35" hidden="false" customHeight="false" outlineLevel="0" collapsed="false">
      <c r="A37" s="31" t="s">
        <v>103</v>
      </c>
      <c r="B37" s="31" t="s">
        <v>138</v>
      </c>
      <c r="C37" s="31" t="s">
        <v>45</v>
      </c>
      <c r="D37" s="31" t="s">
        <v>46</v>
      </c>
      <c r="E37" s="31" t="s">
        <v>7</v>
      </c>
      <c r="F37" s="31" t="s">
        <v>47</v>
      </c>
      <c r="G37" s="31" t="s">
        <v>48</v>
      </c>
    </row>
    <row r="38" customFormat="false" ht="15" hidden="false" customHeight="false" outlineLevel="0" collapsed="false">
      <c r="A38" s="40" t="s">
        <v>106</v>
      </c>
      <c r="B38" s="41"/>
      <c r="C38" s="41"/>
      <c r="D38" s="41"/>
      <c r="E38" s="41"/>
      <c r="F38" s="41"/>
      <c r="G38" s="41"/>
    </row>
    <row r="39" customFormat="false" ht="15" hidden="false" customHeight="false" outlineLevel="0" collapsed="false">
      <c r="A39" s="32" t="s">
        <v>107</v>
      </c>
      <c r="B39" s="37" t="n">
        <v>420000</v>
      </c>
      <c r="C39" s="37" t="n">
        <v>420000</v>
      </c>
      <c r="D39" s="37" t="n">
        <v>420000</v>
      </c>
      <c r="E39" s="37" t="n">
        <v>420000</v>
      </c>
      <c r="F39" s="37" t="n">
        <v>420000</v>
      </c>
      <c r="G39" s="37" t="n">
        <v>420000</v>
      </c>
    </row>
    <row r="40" customFormat="false" ht="15" hidden="false" customHeight="false" outlineLevel="0" collapsed="false">
      <c r="A40" s="32" t="s">
        <v>108</v>
      </c>
      <c r="B40" s="37" t="n">
        <v>336000</v>
      </c>
      <c r="C40" s="37" t="n">
        <v>0</v>
      </c>
      <c r="D40" s="37" t="n">
        <v>0</v>
      </c>
      <c r="E40" s="37" t="n">
        <v>336000</v>
      </c>
      <c r="F40" s="37" t="n">
        <v>336000</v>
      </c>
      <c r="G40" s="37" t="n">
        <v>336000</v>
      </c>
    </row>
    <row r="41" customFormat="false" ht="15" hidden="false" customHeight="false" outlineLevel="0" collapsed="false">
      <c r="A41" s="32" t="s">
        <v>109</v>
      </c>
      <c r="B41" s="37" t="n">
        <v>336000</v>
      </c>
      <c r="C41" s="37" t="n">
        <v>0</v>
      </c>
      <c r="D41" s="37" t="n">
        <v>336000</v>
      </c>
      <c r="E41" s="37" t="n">
        <v>336000</v>
      </c>
      <c r="F41" s="37" t="n">
        <v>336000</v>
      </c>
      <c r="G41" s="37" t="n">
        <v>336000</v>
      </c>
    </row>
    <row r="42" customFormat="false" ht="15" hidden="false" customHeight="false" outlineLevel="0" collapsed="false">
      <c r="A42" s="32" t="s">
        <v>110</v>
      </c>
      <c r="B42" s="37" t="n">
        <v>360000</v>
      </c>
      <c r="C42" s="37" t="n">
        <v>0</v>
      </c>
      <c r="D42" s="37" t="n">
        <v>360000</v>
      </c>
      <c r="E42" s="37" t="n">
        <v>360000</v>
      </c>
      <c r="F42" s="37" t="n">
        <v>360000</v>
      </c>
      <c r="G42" s="37" t="n">
        <v>360000</v>
      </c>
    </row>
    <row r="43" customFormat="false" ht="15" hidden="false" customHeight="false" outlineLevel="0" collapsed="false">
      <c r="A43" s="32" t="s">
        <v>111</v>
      </c>
      <c r="B43" s="37" t="n">
        <v>300000</v>
      </c>
      <c r="C43" s="37" t="n">
        <v>0</v>
      </c>
      <c r="D43" s="37" t="n">
        <v>0</v>
      </c>
      <c r="E43" s="37" t="n">
        <v>300000</v>
      </c>
      <c r="F43" s="37" t="n">
        <v>300000</v>
      </c>
      <c r="G43" s="37" t="n">
        <v>300000</v>
      </c>
    </row>
    <row r="44" customFormat="false" ht="15" hidden="false" customHeight="false" outlineLevel="0" collapsed="false">
      <c r="A44" s="32" t="s">
        <v>112</v>
      </c>
      <c r="B44" s="37" t="n">
        <v>264000</v>
      </c>
      <c r="C44" s="37" t="n">
        <v>0</v>
      </c>
      <c r="D44" s="37" t="n">
        <v>0</v>
      </c>
      <c r="E44" s="37" t="n">
        <v>0</v>
      </c>
      <c r="F44" s="37" t="n">
        <v>264000</v>
      </c>
      <c r="G44" s="37" t="n">
        <v>264000</v>
      </c>
    </row>
    <row r="45" customFormat="false" ht="15" hidden="false" customHeight="false" outlineLevel="0" collapsed="false">
      <c r="A45" s="32" t="s">
        <v>113</v>
      </c>
      <c r="B45" s="37" t="n">
        <v>264000</v>
      </c>
      <c r="C45" s="37" t="n">
        <v>0</v>
      </c>
      <c r="D45" s="37" t="n">
        <v>0</v>
      </c>
      <c r="E45" s="37" t="n">
        <v>0</v>
      </c>
      <c r="F45" s="37" t="n">
        <v>264000</v>
      </c>
      <c r="G45" s="37" t="n">
        <v>264000</v>
      </c>
    </row>
    <row r="46" customFormat="false" ht="15" hidden="false" customHeight="false" outlineLevel="0" collapsed="false">
      <c r="A46" s="40" t="s">
        <v>114</v>
      </c>
      <c r="B46" s="41"/>
      <c r="C46" s="41"/>
      <c r="D46" s="41"/>
      <c r="E46" s="41"/>
      <c r="F46" s="41"/>
      <c r="G46" s="41"/>
    </row>
    <row r="47" customFormat="false" ht="15" hidden="false" customHeight="false" outlineLevel="0" collapsed="false">
      <c r="A47" s="32" t="s">
        <v>115</v>
      </c>
      <c r="B47" s="37" t="n">
        <v>240000</v>
      </c>
      <c r="C47" s="37" t="n">
        <v>0</v>
      </c>
      <c r="D47" s="37" t="n">
        <v>240000</v>
      </c>
      <c r="E47" s="37" t="n">
        <v>240000</v>
      </c>
      <c r="F47" s="37" t="n">
        <v>240000</v>
      </c>
      <c r="G47" s="37" t="n">
        <v>240000</v>
      </c>
    </row>
    <row r="48" customFormat="false" ht="15" hidden="false" customHeight="false" outlineLevel="0" collapsed="false">
      <c r="A48" s="32" t="s">
        <v>116</v>
      </c>
      <c r="B48" s="37" t="n">
        <v>108000</v>
      </c>
      <c r="C48" s="37" t="n">
        <v>216000</v>
      </c>
      <c r="D48" s="37" t="n">
        <v>324000</v>
      </c>
      <c r="E48" s="37" t="n">
        <v>432000</v>
      </c>
      <c r="F48" s="37" t="n">
        <v>540000</v>
      </c>
      <c r="G48" s="37" t="n">
        <v>864000</v>
      </c>
    </row>
    <row r="49" customFormat="false" ht="15" hidden="false" customHeight="false" outlineLevel="0" collapsed="false">
      <c r="A49" s="32" t="s">
        <v>117</v>
      </c>
      <c r="B49" s="37" t="n">
        <v>132000</v>
      </c>
      <c r="C49" s="37" t="n">
        <v>0</v>
      </c>
      <c r="D49" s="37" t="n">
        <v>132000</v>
      </c>
      <c r="E49" s="37" t="n">
        <v>132000</v>
      </c>
      <c r="F49" s="37" t="n">
        <v>264000</v>
      </c>
      <c r="G49" s="37" t="n">
        <v>396000</v>
      </c>
    </row>
    <row r="50" customFormat="false" ht="15" hidden="false" customHeight="false" outlineLevel="0" collapsed="false">
      <c r="A50" s="32" t="s">
        <v>118</v>
      </c>
      <c r="B50" s="37" t="n">
        <v>96000</v>
      </c>
      <c r="C50" s="37" t="n">
        <v>0</v>
      </c>
      <c r="D50" s="37" t="n">
        <v>0</v>
      </c>
      <c r="E50" s="37" t="n">
        <v>96000</v>
      </c>
      <c r="F50" s="37" t="n">
        <v>96000</v>
      </c>
      <c r="G50" s="37" t="n">
        <v>192000</v>
      </c>
    </row>
    <row r="51" customFormat="false" ht="15" hidden="false" customHeight="false" outlineLevel="0" collapsed="false">
      <c r="A51" s="40" t="s">
        <v>119</v>
      </c>
      <c r="B51" s="41"/>
      <c r="C51" s="41"/>
      <c r="D51" s="41"/>
      <c r="E51" s="41"/>
      <c r="F51" s="41"/>
      <c r="G51" s="41"/>
    </row>
    <row r="52" customFormat="false" ht="15" hidden="false" customHeight="false" outlineLevel="0" collapsed="false">
      <c r="A52" s="32" t="s">
        <v>120</v>
      </c>
      <c r="B52" s="37" t="n">
        <v>264000</v>
      </c>
      <c r="C52" s="37" t="n">
        <v>0</v>
      </c>
      <c r="D52" s="37" t="n">
        <v>0</v>
      </c>
      <c r="E52" s="37" t="n">
        <v>264000</v>
      </c>
      <c r="F52" s="37" t="n">
        <v>264000</v>
      </c>
      <c r="G52" s="37" t="n">
        <v>264000</v>
      </c>
    </row>
    <row r="53" customFormat="false" ht="15" hidden="false" customHeight="false" outlineLevel="0" collapsed="false">
      <c r="A53" s="32" t="s">
        <v>121</v>
      </c>
      <c r="B53" s="37" t="n">
        <v>144000</v>
      </c>
      <c r="C53" s="37" t="n">
        <v>144000</v>
      </c>
      <c r="D53" s="37" t="n">
        <v>144000</v>
      </c>
      <c r="E53" s="37" t="n">
        <v>144000</v>
      </c>
      <c r="F53" s="37" t="n">
        <v>432000</v>
      </c>
      <c r="G53" s="37" t="n">
        <v>720000</v>
      </c>
    </row>
    <row r="54" customFormat="false" ht="15" hidden="false" customHeight="false" outlineLevel="0" collapsed="false">
      <c r="A54" s="32" t="s">
        <v>122</v>
      </c>
      <c r="B54" s="37" t="n">
        <v>180000</v>
      </c>
      <c r="C54" s="37" t="n">
        <v>0</v>
      </c>
      <c r="D54" s="37" t="n">
        <v>180000</v>
      </c>
      <c r="E54" s="37" t="n">
        <v>360000</v>
      </c>
      <c r="F54" s="37" t="n">
        <v>540000</v>
      </c>
      <c r="G54" s="37" t="n">
        <v>900000</v>
      </c>
    </row>
    <row r="55" customFormat="false" ht="15" hidden="false" customHeight="false" outlineLevel="0" collapsed="false">
      <c r="A55" s="32" t="s">
        <v>123</v>
      </c>
      <c r="B55" s="37" t="n">
        <v>180000</v>
      </c>
      <c r="C55" s="37" t="n">
        <v>0</v>
      </c>
      <c r="D55" s="37" t="n">
        <v>0</v>
      </c>
      <c r="E55" s="37" t="n">
        <v>180000</v>
      </c>
      <c r="F55" s="37" t="n">
        <v>360000</v>
      </c>
      <c r="G55" s="37" t="n">
        <v>540000</v>
      </c>
    </row>
    <row r="56" customFormat="false" ht="15" hidden="false" customHeight="false" outlineLevel="0" collapsed="false">
      <c r="A56" s="40" t="s">
        <v>124</v>
      </c>
      <c r="B56" s="41"/>
      <c r="C56" s="41"/>
      <c r="D56" s="41"/>
      <c r="E56" s="41"/>
      <c r="F56" s="41"/>
      <c r="G56" s="41"/>
    </row>
    <row r="57" customFormat="false" ht="15" hidden="false" customHeight="false" outlineLevel="0" collapsed="false">
      <c r="A57" s="32" t="s">
        <v>125</v>
      </c>
      <c r="B57" s="37" t="n">
        <v>216000</v>
      </c>
      <c r="C57" s="37" t="n">
        <v>0</v>
      </c>
      <c r="D57" s="37" t="n">
        <v>0</v>
      </c>
      <c r="E57" s="37" t="n">
        <v>216000</v>
      </c>
      <c r="F57" s="37" t="n">
        <v>216000</v>
      </c>
      <c r="G57" s="37" t="n">
        <v>216000</v>
      </c>
    </row>
    <row r="58" customFormat="false" ht="15" hidden="false" customHeight="false" outlineLevel="0" collapsed="false">
      <c r="A58" s="32" t="s">
        <v>126</v>
      </c>
      <c r="B58" s="37" t="n">
        <v>86400</v>
      </c>
      <c r="C58" s="37" t="n">
        <v>86400</v>
      </c>
      <c r="D58" s="37" t="n">
        <v>172800</v>
      </c>
      <c r="E58" s="37" t="n">
        <v>172800</v>
      </c>
      <c r="F58" s="37" t="n">
        <v>345600</v>
      </c>
      <c r="G58" s="37" t="n">
        <v>691200</v>
      </c>
    </row>
    <row r="59" customFormat="false" ht="15" hidden="false" customHeight="false" outlineLevel="0" collapsed="false">
      <c r="A59" s="32" t="s">
        <v>127</v>
      </c>
      <c r="B59" s="37" t="n">
        <v>108000</v>
      </c>
      <c r="C59" s="37" t="n">
        <v>0</v>
      </c>
      <c r="D59" s="37" t="n">
        <v>0</v>
      </c>
      <c r="E59" s="37" t="n">
        <v>108000</v>
      </c>
      <c r="F59" s="37" t="n">
        <v>216000</v>
      </c>
      <c r="G59" s="37" t="n">
        <v>324000</v>
      </c>
    </row>
    <row r="60" customFormat="false" ht="15" hidden="false" customHeight="false" outlineLevel="0" collapsed="false">
      <c r="A60" s="40" t="s">
        <v>128</v>
      </c>
      <c r="B60" s="41"/>
      <c r="C60" s="41"/>
      <c r="D60" s="41"/>
      <c r="E60" s="41"/>
      <c r="F60" s="41"/>
      <c r="G60" s="41"/>
    </row>
    <row r="61" customFormat="false" ht="15" hidden="false" customHeight="false" outlineLevel="0" collapsed="false">
      <c r="A61" s="32" t="s">
        <v>129</v>
      </c>
      <c r="B61" s="37" t="n">
        <v>240000</v>
      </c>
      <c r="C61" s="37" t="n">
        <v>0</v>
      </c>
      <c r="D61" s="37" t="n">
        <v>0</v>
      </c>
      <c r="E61" s="37" t="n">
        <v>240000</v>
      </c>
      <c r="F61" s="37" t="n">
        <v>240000</v>
      </c>
      <c r="G61" s="37" t="n">
        <v>240000</v>
      </c>
    </row>
    <row r="62" customFormat="false" ht="15" hidden="false" customHeight="false" outlineLevel="0" collapsed="false">
      <c r="A62" s="32" t="s">
        <v>130</v>
      </c>
      <c r="B62" s="37" t="n">
        <v>120000</v>
      </c>
      <c r="C62" s="37" t="n">
        <v>0</v>
      </c>
      <c r="D62" s="37" t="n">
        <v>120000</v>
      </c>
      <c r="E62" s="37" t="n">
        <v>240000</v>
      </c>
      <c r="F62" s="37" t="n">
        <v>360000</v>
      </c>
      <c r="G62" s="37" t="n">
        <v>600000</v>
      </c>
    </row>
    <row r="63" customFormat="false" ht="15" hidden="false" customHeight="false" outlineLevel="0" collapsed="false">
      <c r="A63" s="32" t="s">
        <v>131</v>
      </c>
      <c r="B63" s="37" t="n">
        <v>108000</v>
      </c>
      <c r="C63" s="37" t="n">
        <v>0</v>
      </c>
      <c r="D63" s="37" t="n">
        <v>0</v>
      </c>
      <c r="E63" s="37" t="n">
        <v>108000</v>
      </c>
      <c r="F63" s="37" t="n">
        <v>108000</v>
      </c>
      <c r="G63" s="37" t="n">
        <v>216000</v>
      </c>
    </row>
    <row r="64" customFormat="false" ht="15" hidden="false" customHeight="false" outlineLevel="0" collapsed="false">
      <c r="A64" s="40" t="s">
        <v>132</v>
      </c>
      <c r="B64" s="41"/>
      <c r="C64" s="41"/>
      <c r="D64" s="41"/>
      <c r="E64" s="41"/>
      <c r="F64" s="41"/>
      <c r="G64" s="41"/>
    </row>
    <row r="65" customFormat="false" ht="15" hidden="false" customHeight="false" outlineLevel="0" collapsed="false">
      <c r="A65" s="32" t="s">
        <v>133</v>
      </c>
      <c r="B65" s="37" t="n">
        <v>240000</v>
      </c>
      <c r="C65" s="37" t="n">
        <v>0</v>
      </c>
      <c r="D65" s="37" t="n">
        <v>0</v>
      </c>
      <c r="E65" s="37" t="n">
        <v>240000</v>
      </c>
      <c r="F65" s="37" t="n">
        <v>240000</v>
      </c>
      <c r="G65" s="37" t="n">
        <v>240000</v>
      </c>
    </row>
    <row r="66" customFormat="false" ht="15" hidden="false" customHeight="false" outlineLevel="0" collapsed="false">
      <c r="A66" s="32" t="s">
        <v>134</v>
      </c>
      <c r="B66" s="37" t="n">
        <v>132000</v>
      </c>
      <c r="C66" s="37" t="n">
        <v>0</v>
      </c>
      <c r="D66" s="37" t="n">
        <v>132000</v>
      </c>
      <c r="E66" s="37" t="n">
        <v>132000</v>
      </c>
      <c r="F66" s="37" t="n">
        <v>264000</v>
      </c>
      <c r="G66" s="37" t="n">
        <v>396000</v>
      </c>
    </row>
    <row r="67" customFormat="false" ht="15" hidden="false" customHeight="false" outlineLevel="0" collapsed="false">
      <c r="A67" s="32" t="s">
        <v>135</v>
      </c>
      <c r="B67" s="37" t="n">
        <v>84000</v>
      </c>
      <c r="C67" s="37" t="n">
        <v>0</v>
      </c>
      <c r="D67" s="37" t="n">
        <v>0</v>
      </c>
      <c r="E67" s="37" t="n">
        <v>84000</v>
      </c>
      <c r="F67" s="37" t="n">
        <v>168000</v>
      </c>
      <c r="G67" s="37" t="n">
        <v>252000</v>
      </c>
    </row>
    <row r="68" customFormat="false" ht="15" hidden="false" customHeight="false" outlineLevel="0" collapsed="false">
      <c r="A68" s="38" t="s">
        <v>139</v>
      </c>
      <c r="B68" s="38"/>
      <c r="C68" s="39" t="n">
        <v>866400</v>
      </c>
      <c r="D68" s="39" t="n">
        <v>2560800</v>
      </c>
      <c r="E68" s="39" t="n">
        <v>5140800</v>
      </c>
      <c r="F68" s="39" t="n">
        <v>7173600</v>
      </c>
      <c r="G68" s="39" t="n">
        <v>9571200</v>
      </c>
    </row>
    <row r="70" customFormat="false" ht="17.35" hidden="false" customHeight="false" outlineLevel="0" collapsed="false">
      <c r="A70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7" min="3" style="0" width="18"/>
  </cols>
  <sheetData>
    <row r="1" customFormat="false" ht="17.35" hidden="false" customHeight="false" outlineLevel="0" collapsed="false">
      <c r="A1" s="30" t="s">
        <v>140</v>
      </c>
    </row>
    <row r="3" customFormat="false" ht="15" hidden="false" customHeight="false" outlineLevel="0" collapsed="false">
      <c r="A3" s="31" t="s">
        <v>141</v>
      </c>
      <c r="B3" s="31" t="s">
        <v>142</v>
      </c>
      <c r="C3" s="31" t="s">
        <v>45</v>
      </c>
      <c r="D3" s="31" t="s">
        <v>46</v>
      </c>
      <c r="E3" s="31" t="s">
        <v>7</v>
      </c>
      <c r="F3" s="31" t="s">
        <v>47</v>
      </c>
      <c r="G3" s="31" t="s">
        <v>48</v>
      </c>
    </row>
    <row r="4" customFormat="false" ht="15" hidden="false" customHeight="false" outlineLevel="0" collapsed="false">
      <c r="A4" s="32" t="s">
        <v>63</v>
      </c>
      <c r="B4" s="32" t="s">
        <v>143</v>
      </c>
      <c r="C4" s="37" t="n">
        <v>144000</v>
      </c>
      <c r="D4" s="37" t="n">
        <v>240000</v>
      </c>
      <c r="E4" s="37" t="n">
        <v>480000</v>
      </c>
      <c r="F4" s="37" t="n">
        <v>960000</v>
      </c>
      <c r="G4" s="37" t="n">
        <v>2400000</v>
      </c>
    </row>
    <row r="5" customFormat="false" ht="15" hidden="false" customHeight="false" outlineLevel="0" collapsed="false">
      <c r="A5" s="32" t="s">
        <v>64</v>
      </c>
      <c r="B5" s="32" t="s">
        <v>144</v>
      </c>
      <c r="C5" s="37" t="n">
        <v>60000</v>
      </c>
      <c r="D5" s="37" t="n">
        <v>120000</v>
      </c>
      <c r="E5" s="37" t="n">
        <v>240000</v>
      </c>
      <c r="F5" s="37" t="n">
        <v>360000</v>
      </c>
      <c r="G5" s="37" t="n">
        <v>600000</v>
      </c>
    </row>
    <row r="6" customFormat="false" ht="15" hidden="false" customHeight="false" outlineLevel="0" collapsed="false">
      <c r="A6" s="32" t="s">
        <v>65</v>
      </c>
      <c r="B6" s="32" t="s">
        <v>145</v>
      </c>
      <c r="C6" s="37" t="n">
        <v>36000</v>
      </c>
      <c r="D6" s="37" t="n">
        <v>60000</v>
      </c>
      <c r="E6" s="37" t="n">
        <v>120000</v>
      </c>
      <c r="F6" s="37" t="n">
        <v>240000</v>
      </c>
      <c r="G6" s="37" t="n">
        <v>480000</v>
      </c>
    </row>
    <row r="7" customFormat="false" ht="15" hidden="false" customHeight="false" outlineLevel="0" collapsed="false">
      <c r="A7" s="38" t="s">
        <v>146</v>
      </c>
      <c r="B7" s="35"/>
      <c r="C7" s="39" t="n">
        <f aca="false">SUM(C4:C6)</f>
        <v>240000</v>
      </c>
      <c r="D7" s="39" t="n">
        <f aca="false">SUM(D4:D6)</f>
        <v>420000</v>
      </c>
      <c r="E7" s="39" t="n">
        <f aca="false">SUM(E4:E6)</f>
        <v>840000</v>
      </c>
      <c r="F7" s="39" t="n">
        <f aca="false">SUM(F4:F6)</f>
        <v>1560000</v>
      </c>
      <c r="G7" s="39" t="n">
        <f aca="false">SUM(G4:G6)</f>
        <v>3480000</v>
      </c>
    </row>
    <row r="9" customFormat="false" ht="17.35" hidden="false" customHeight="false" outlineLevel="0" collapsed="false">
      <c r="A9" s="30" t="s">
        <v>147</v>
      </c>
    </row>
    <row r="11" customFormat="false" ht="15" hidden="false" customHeight="false" outlineLevel="0" collapsed="false">
      <c r="A11" s="31" t="s">
        <v>148</v>
      </c>
      <c r="B11" s="31" t="s">
        <v>142</v>
      </c>
      <c r="C11" s="31" t="s">
        <v>45</v>
      </c>
      <c r="D11" s="31" t="s">
        <v>46</v>
      </c>
      <c r="E11" s="31" t="s">
        <v>7</v>
      </c>
      <c r="F11" s="31" t="s">
        <v>47</v>
      </c>
      <c r="G11" s="31" t="s">
        <v>48</v>
      </c>
    </row>
    <row r="12" customFormat="false" ht="15" hidden="false" customHeight="false" outlineLevel="0" collapsed="false">
      <c r="A12" s="32" t="s">
        <v>149</v>
      </c>
      <c r="B12" s="32" t="s">
        <v>150</v>
      </c>
      <c r="C12" s="37" t="n">
        <v>250000</v>
      </c>
      <c r="D12" s="37" t="n">
        <v>500000</v>
      </c>
      <c r="E12" s="37" t="n">
        <v>750000</v>
      </c>
      <c r="F12" s="37" t="n">
        <v>750000</v>
      </c>
      <c r="G12" s="37" t="n">
        <v>1250000</v>
      </c>
    </row>
    <row r="13" customFormat="false" ht="15" hidden="false" customHeight="false" outlineLevel="0" collapsed="false">
      <c r="A13" s="32" t="s">
        <v>151</v>
      </c>
      <c r="B13" s="32" t="s">
        <v>152</v>
      </c>
      <c r="C13" s="37" t="n">
        <v>85000</v>
      </c>
      <c r="D13" s="37" t="n">
        <v>170000</v>
      </c>
      <c r="E13" s="37" t="n">
        <v>340000</v>
      </c>
      <c r="F13" s="37" t="n">
        <v>680000</v>
      </c>
      <c r="G13" s="37" t="n">
        <v>1530000</v>
      </c>
    </row>
    <row r="14" customFormat="false" ht="15" hidden="false" customHeight="false" outlineLevel="0" collapsed="false">
      <c r="A14" s="32" t="s">
        <v>153</v>
      </c>
      <c r="B14" s="32" t="s">
        <v>154</v>
      </c>
      <c r="C14" s="37" t="n">
        <v>269700</v>
      </c>
      <c r="D14" s="37" t="n">
        <v>449500</v>
      </c>
      <c r="E14" s="37" t="n">
        <v>899000</v>
      </c>
      <c r="F14" s="37" t="n">
        <v>1798000</v>
      </c>
      <c r="G14" s="37" t="n">
        <v>4495000</v>
      </c>
    </row>
    <row r="15" customFormat="false" ht="15" hidden="false" customHeight="false" outlineLevel="0" collapsed="false">
      <c r="A15" s="32" t="s">
        <v>155</v>
      </c>
      <c r="B15" s="32" t="s">
        <v>156</v>
      </c>
      <c r="C15" s="37" t="n">
        <v>75000</v>
      </c>
      <c r="D15" s="37" t="n">
        <v>210000</v>
      </c>
      <c r="E15" s="37" t="n">
        <v>420000</v>
      </c>
      <c r="F15" s="37" t="n">
        <v>630000</v>
      </c>
      <c r="G15" s="37" t="n">
        <v>930000</v>
      </c>
    </row>
    <row r="16" customFormat="false" ht="15" hidden="false" customHeight="false" outlineLevel="0" collapsed="false">
      <c r="A16" s="32" t="s">
        <v>157</v>
      </c>
      <c r="B16" s="32" t="s">
        <v>158</v>
      </c>
      <c r="C16" s="37" t="n">
        <v>120000</v>
      </c>
      <c r="D16" s="37" t="n">
        <v>120000</v>
      </c>
      <c r="E16" s="37" t="n">
        <v>240000</v>
      </c>
      <c r="F16" s="37" t="n">
        <v>360000</v>
      </c>
      <c r="G16" s="37" t="n">
        <v>600000</v>
      </c>
    </row>
    <row r="17" customFormat="false" ht="15" hidden="false" customHeight="false" outlineLevel="0" collapsed="false">
      <c r="A17" s="32" t="s">
        <v>159</v>
      </c>
      <c r="B17" s="32" t="s">
        <v>160</v>
      </c>
      <c r="C17" s="37" t="n">
        <v>50000</v>
      </c>
      <c r="D17" s="37" t="n">
        <v>140000</v>
      </c>
      <c r="E17" s="37" t="n">
        <v>280000</v>
      </c>
      <c r="F17" s="37" t="n">
        <v>420000</v>
      </c>
      <c r="G17" s="37" t="n">
        <v>620000</v>
      </c>
    </row>
    <row r="18" customFormat="false" ht="15" hidden="false" customHeight="false" outlineLevel="0" collapsed="false">
      <c r="A18" s="32" t="s">
        <v>161</v>
      </c>
      <c r="B18" s="32" t="s">
        <v>145</v>
      </c>
      <c r="C18" s="37" t="n">
        <v>100000</v>
      </c>
      <c r="D18" s="37" t="n">
        <v>150000</v>
      </c>
      <c r="E18" s="37" t="n">
        <v>250000</v>
      </c>
      <c r="F18" s="37" t="n">
        <v>400000</v>
      </c>
      <c r="G18" s="37" t="n">
        <v>800000</v>
      </c>
    </row>
    <row r="19" customFormat="false" ht="15" hidden="false" customHeight="false" outlineLevel="0" collapsed="false">
      <c r="A19" s="38" t="s">
        <v>162</v>
      </c>
      <c r="B19" s="35"/>
      <c r="C19" s="39" t="n">
        <f aca="false">SUM(C12:C18)</f>
        <v>949700</v>
      </c>
      <c r="D19" s="39" t="n">
        <f aca="false">SUM(D12:D18)</f>
        <v>1739500</v>
      </c>
      <c r="E19" s="39" t="n">
        <f aca="false">SUM(E12:E18)</f>
        <v>3179000</v>
      </c>
      <c r="F19" s="39" t="n">
        <f aca="false">SUM(F12:F18)</f>
        <v>5038000</v>
      </c>
      <c r="G19" s="39" t="n">
        <f aca="false">SUM(G12:G18)</f>
        <v>10225000</v>
      </c>
    </row>
    <row r="21" customFormat="false" ht="17.35" hidden="false" customHeight="false" outlineLevel="0" collapsed="false">
      <c r="A21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5"/>
  </cols>
  <sheetData>
    <row r="1" customFormat="false" ht="17.35" hidden="false" customHeight="false" outlineLevel="0" collapsed="false">
      <c r="A1" s="30" t="s">
        <v>163</v>
      </c>
    </row>
    <row r="3" customFormat="false" ht="15" hidden="false" customHeight="false" outlineLevel="0" collapsed="false">
      <c r="A3" s="31" t="s">
        <v>164</v>
      </c>
      <c r="B3" s="31" t="s">
        <v>165</v>
      </c>
      <c r="C3" s="31" t="s">
        <v>166</v>
      </c>
      <c r="D3" s="31" t="s">
        <v>71</v>
      </c>
    </row>
    <row r="4" customFormat="false" ht="15" hidden="false" customHeight="false" outlineLevel="0" collapsed="false">
      <c r="A4" s="32" t="s">
        <v>167</v>
      </c>
      <c r="B4" s="32" t="s">
        <v>168</v>
      </c>
      <c r="C4" s="37" t="n">
        <v>2000</v>
      </c>
      <c r="D4" s="32" t="s">
        <v>169</v>
      </c>
    </row>
    <row r="5" customFormat="false" ht="15" hidden="false" customHeight="false" outlineLevel="0" collapsed="false">
      <c r="A5" s="32" t="s">
        <v>170</v>
      </c>
      <c r="B5" s="32" t="s">
        <v>171</v>
      </c>
      <c r="C5" s="37" t="n">
        <v>1700</v>
      </c>
      <c r="D5" s="32" t="s">
        <v>172</v>
      </c>
    </row>
    <row r="6" customFormat="false" ht="15" hidden="false" customHeight="false" outlineLevel="0" collapsed="false">
      <c r="A6" s="32" t="s">
        <v>173</v>
      </c>
      <c r="B6" s="32" t="s">
        <v>86</v>
      </c>
      <c r="C6" s="37" t="n">
        <v>1400</v>
      </c>
      <c r="D6" s="32" t="s">
        <v>174</v>
      </c>
    </row>
    <row r="7" customFormat="false" ht="15" hidden="false" customHeight="false" outlineLevel="0" collapsed="false">
      <c r="A7" s="32" t="s">
        <v>175</v>
      </c>
      <c r="B7" s="32" t="s">
        <v>176</v>
      </c>
      <c r="C7" s="37" t="n">
        <v>1100</v>
      </c>
      <c r="D7" s="32" t="s">
        <v>174</v>
      </c>
    </row>
    <row r="10" customFormat="false" ht="17.35" hidden="false" customHeight="false" outlineLevel="0" collapsed="false">
      <c r="A10" s="30" t="s">
        <v>177</v>
      </c>
    </row>
    <row r="12" customFormat="false" ht="28.35" hidden="false" customHeight="false" outlineLevel="0" collapsed="false">
      <c r="A12" s="31" t="s">
        <v>178</v>
      </c>
      <c r="B12" s="31" t="s">
        <v>179</v>
      </c>
      <c r="C12" s="31" t="s">
        <v>166</v>
      </c>
      <c r="D12" s="31" t="s">
        <v>180</v>
      </c>
    </row>
    <row r="13" customFormat="false" ht="15" hidden="false" customHeight="false" outlineLevel="0" collapsed="false">
      <c r="A13" s="32" t="s">
        <v>45</v>
      </c>
      <c r="B13" s="42" t="n">
        <v>3000</v>
      </c>
      <c r="C13" s="37" t="n">
        <v>2000</v>
      </c>
      <c r="D13" s="37" t="n">
        <v>6000000</v>
      </c>
    </row>
    <row r="14" customFormat="false" ht="15" hidden="false" customHeight="false" outlineLevel="0" collapsed="false">
      <c r="A14" s="32" t="s">
        <v>46</v>
      </c>
      <c r="B14" s="42" t="n">
        <v>5000</v>
      </c>
      <c r="C14" s="37" t="n">
        <v>2000</v>
      </c>
      <c r="D14" s="37" t="n">
        <v>10000000</v>
      </c>
    </row>
    <row r="15" customFormat="false" ht="15" hidden="false" customHeight="false" outlineLevel="0" collapsed="false">
      <c r="A15" s="32" t="s">
        <v>7</v>
      </c>
      <c r="B15" s="42" t="n">
        <v>10000</v>
      </c>
      <c r="C15" s="37" t="n">
        <v>1700</v>
      </c>
      <c r="D15" s="37" t="n">
        <v>17000000</v>
      </c>
    </row>
    <row r="16" customFormat="false" ht="15" hidden="false" customHeight="false" outlineLevel="0" collapsed="false">
      <c r="A16" s="32" t="s">
        <v>47</v>
      </c>
      <c r="B16" s="42" t="n">
        <v>20000</v>
      </c>
      <c r="C16" s="37" t="n">
        <v>1700</v>
      </c>
      <c r="D16" s="37" t="n">
        <v>34000000</v>
      </c>
    </row>
    <row r="17" customFormat="false" ht="15" hidden="false" customHeight="false" outlineLevel="0" collapsed="false">
      <c r="A17" s="32" t="s">
        <v>48</v>
      </c>
      <c r="B17" s="42" t="n">
        <v>50000</v>
      </c>
      <c r="C17" s="37" t="n">
        <v>1462</v>
      </c>
      <c r="D17" s="37" t="n">
        <v>73100000</v>
      </c>
    </row>
    <row r="19" customFormat="false" ht="17.35" hidden="false" customHeight="false" outlineLevel="0" collapsed="false">
      <c r="A19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0" t="s">
        <v>181</v>
      </c>
    </row>
    <row r="3" customFormat="false" ht="15" hidden="false" customHeight="false" outlineLevel="0" collapsed="false">
      <c r="A3" s="31" t="s">
        <v>33</v>
      </c>
      <c r="B3" s="31" t="s">
        <v>45</v>
      </c>
      <c r="C3" s="31" t="s">
        <v>46</v>
      </c>
      <c r="D3" s="31" t="s">
        <v>7</v>
      </c>
      <c r="E3" s="31" t="s">
        <v>47</v>
      </c>
      <c r="F3" s="31" t="s">
        <v>48</v>
      </c>
    </row>
    <row r="4" customFormat="false" ht="15" hidden="false" customHeight="false" outlineLevel="0" collapsed="false">
      <c r="A4" s="44" t="s">
        <v>182</v>
      </c>
      <c r="B4" s="41"/>
      <c r="C4" s="41"/>
      <c r="D4" s="41"/>
      <c r="E4" s="41"/>
      <c r="F4" s="41"/>
    </row>
    <row r="5" customFormat="false" ht="15" hidden="false" customHeight="false" outlineLevel="0" collapsed="false">
      <c r="A5" s="32" t="s">
        <v>183</v>
      </c>
      <c r="B5" s="37" t="n">
        <v>16500000</v>
      </c>
      <c r="C5" s="37" t="n">
        <v>27500000</v>
      </c>
      <c r="D5" s="37" t="n">
        <v>55000000</v>
      </c>
      <c r="E5" s="37" t="n">
        <v>110000000</v>
      </c>
      <c r="F5" s="37" t="n">
        <v>275000000</v>
      </c>
    </row>
    <row r="6" customFormat="false" ht="15" hidden="false" customHeight="false" outlineLevel="0" collapsed="false">
      <c r="A6" s="32" t="s">
        <v>184</v>
      </c>
      <c r="B6" s="37" t="n">
        <v>2100000</v>
      </c>
      <c r="C6" s="37" t="n">
        <v>3500000</v>
      </c>
      <c r="D6" s="37" t="n">
        <v>7000000</v>
      </c>
      <c r="E6" s="37" t="n">
        <v>14000000</v>
      </c>
      <c r="F6" s="37" t="n">
        <v>35000000</v>
      </c>
    </row>
    <row r="7" customFormat="false" ht="15" hidden="false" customHeight="false" outlineLevel="0" collapsed="false">
      <c r="A7" s="32" t="s">
        <v>185</v>
      </c>
      <c r="B7" s="37" t="n">
        <v>2537400</v>
      </c>
      <c r="C7" s="37" t="n">
        <v>4229000</v>
      </c>
      <c r="D7" s="37" t="n">
        <v>8458000</v>
      </c>
      <c r="E7" s="37" t="n">
        <v>16916000</v>
      </c>
      <c r="F7" s="37" t="n">
        <v>42290000</v>
      </c>
    </row>
    <row r="8" customFormat="false" ht="15" hidden="false" customHeight="false" outlineLevel="0" collapsed="false">
      <c r="A8" s="38" t="s">
        <v>186</v>
      </c>
      <c r="B8" s="39" t="n">
        <f aca="false">SUM(B5:B7)</f>
        <v>21137400</v>
      </c>
      <c r="C8" s="39" t="n">
        <f aca="false">SUM(C5:C7)</f>
        <v>35229000</v>
      </c>
      <c r="D8" s="39" t="n">
        <f aca="false">SUM(D5:D7)</f>
        <v>70458000</v>
      </c>
      <c r="E8" s="39" t="n">
        <f aca="false">SUM(E5:E7)</f>
        <v>140916000</v>
      </c>
      <c r="F8" s="39" t="n">
        <f aca="false">SUM(F5:F7)</f>
        <v>352290000</v>
      </c>
    </row>
    <row r="9" customFormat="false" ht="15" hidden="false" customHeight="false" outlineLevel="0" collapsed="false">
      <c r="A9" s="45" t="s">
        <v>187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32" t="s">
        <v>188</v>
      </c>
      <c r="B10" s="37" t="n">
        <v>2000</v>
      </c>
      <c r="C10" s="37" t="n">
        <v>2000</v>
      </c>
      <c r="D10" s="37" t="n">
        <v>1700</v>
      </c>
      <c r="E10" s="37" t="n">
        <v>1700</v>
      </c>
      <c r="F10" s="37" t="n">
        <v>1462</v>
      </c>
    </row>
    <row r="11" customFormat="false" ht="15" hidden="false" customHeight="false" outlineLevel="0" collapsed="false">
      <c r="A11" s="32" t="s">
        <v>189</v>
      </c>
      <c r="B11" s="37" t="n">
        <v>6000000</v>
      </c>
      <c r="C11" s="37" t="n">
        <v>10000000</v>
      </c>
      <c r="D11" s="37" t="n">
        <v>17000000</v>
      </c>
      <c r="E11" s="37" t="n">
        <v>34000000</v>
      </c>
      <c r="F11" s="37" t="n">
        <v>73100000</v>
      </c>
    </row>
    <row r="12" customFormat="false" ht="15" hidden="false" customHeight="false" outlineLevel="0" collapsed="false">
      <c r="A12" s="32" t="s">
        <v>190</v>
      </c>
      <c r="B12" s="37" t="n">
        <v>1106400</v>
      </c>
      <c r="C12" s="37" t="n">
        <v>2980800</v>
      </c>
      <c r="D12" s="37" t="n">
        <v>5980800</v>
      </c>
      <c r="E12" s="37" t="n">
        <v>8733600</v>
      </c>
      <c r="F12" s="37" t="n">
        <v>13051200</v>
      </c>
    </row>
    <row r="13" customFormat="false" ht="15" hidden="false" customHeight="false" outlineLevel="0" collapsed="false">
      <c r="A13" s="32" t="s">
        <v>191</v>
      </c>
      <c r="B13" s="37" t="n">
        <v>949700</v>
      </c>
      <c r="C13" s="37" t="n">
        <v>1739500</v>
      </c>
      <c r="D13" s="37" t="n">
        <v>3179000</v>
      </c>
      <c r="E13" s="37" t="n">
        <v>5038000</v>
      </c>
      <c r="F13" s="37" t="n">
        <v>10225000</v>
      </c>
    </row>
    <row r="14" customFormat="false" ht="15" hidden="false" customHeight="false" outlineLevel="0" collapsed="false">
      <c r="A14" s="44" t="s">
        <v>192</v>
      </c>
      <c r="B14" s="41"/>
      <c r="C14" s="41"/>
      <c r="D14" s="41"/>
      <c r="E14" s="41"/>
      <c r="F14" s="41"/>
    </row>
    <row r="15" customFormat="false" ht="15" hidden="false" customHeight="false" outlineLevel="0" collapsed="false">
      <c r="A15" s="32" t="s">
        <v>193</v>
      </c>
      <c r="B15" s="47" t="n">
        <f aca="false">B8-B11</f>
        <v>15137400</v>
      </c>
      <c r="C15" s="47" t="n">
        <f aca="false">C8-C11</f>
        <v>25229000</v>
      </c>
      <c r="D15" s="47" t="n">
        <f aca="false">D8-D11</f>
        <v>53458000</v>
      </c>
      <c r="E15" s="47" t="n">
        <f aca="false">E8-E11</f>
        <v>106916000</v>
      </c>
      <c r="F15" s="47" t="n">
        <f aca="false">F8-F11</f>
        <v>279190000</v>
      </c>
    </row>
    <row r="16" customFormat="false" ht="15" hidden="false" customHeight="false" outlineLevel="0" collapsed="false">
      <c r="A16" s="32" t="s">
        <v>194</v>
      </c>
      <c r="B16" s="47" t="n">
        <f aca="false">B15-B12</f>
        <v>14031000</v>
      </c>
      <c r="C16" s="47" t="n">
        <f aca="false">C15-C12</f>
        <v>22248200</v>
      </c>
      <c r="D16" s="47" t="n">
        <f aca="false">D15-D12</f>
        <v>47477200</v>
      </c>
      <c r="E16" s="47" t="n">
        <f aca="false">E15-E12</f>
        <v>98182400</v>
      </c>
      <c r="F16" s="47" t="n">
        <f aca="false">F15-F12</f>
        <v>266138800</v>
      </c>
    </row>
    <row r="17" customFormat="false" ht="15" hidden="false" customHeight="false" outlineLevel="0" collapsed="false">
      <c r="A17" s="38" t="s">
        <v>40</v>
      </c>
      <c r="B17" s="39" t="n">
        <f aca="false">B16</f>
        <v>14031000</v>
      </c>
      <c r="C17" s="39" t="n">
        <f aca="false">C16</f>
        <v>22248200</v>
      </c>
      <c r="D17" s="39" t="n">
        <f aca="false">D16</f>
        <v>47477200</v>
      </c>
      <c r="E17" s="39" t="n">
        <f aca="false">E16</f>
        <v>98182400</v>
      </c>
      <c r="F17" s="39" t="n">
        <f aca="false">F16</f>
        <v>266138800</v>
      </c>
    </row>
    <row r="18" customFormat="false" ht="15" hidden="false" customHeight="false" outlineLevel="0" collapsed="false">
      <c r="A18" s="44" t="s">
        <v>195</v>
      </c>
      <c r="B18" s="41"/>
      <c r="C18" s="41"/>
      <c r="D18" s="41"/>
      <c r="E18" s="41"/>
      <c r="F18" s="41"/>
    </row>
    <row r="19" customFormat="false" ht="15" hidden="false" customHeight="false" outlineLevel="0" collapsed="false">
      <c r="A19" s="32" t="s">
        <v>196</v>
      </c>
      <c r="B19" s="48" t="n">
        <f aca="false">IF(B8&gt;0,B15/B8,0)</f>
        <v>0.716142950410173</v>
      </c>
      <c r="C19" s="48" t="n">
        <f aca="false">IF(C8&gt;0,C15/C8,0)</f>
        <v>0.716142950410173</v>
      </c>
      <c r="D19" s="48" t="n">
        <f aca="false">IF(D8&gt;0,D15/D8,0)</f>
        <v>0.758721507848647</v>
      </c>
      <c r="E19" s="48" t="n">
        <f aca="false">IF(E8&gt;0,E15/E8,0)</f>
        <v>0.758721507848647</v>
      </c>
      <c r="F19" s="48" t="n">
        <f aca="false">IF(F8&gt;0,F15/F8,0)</f>
        <v>0.792500496749837</v>
      </c>
    </row>
    <row r="20" customFormat="false" ht="15" hidden="false" customHeight="false" outlineLevel="0" collapsed="false">
      <c r="A20" s="32" t="s">
        <v>197</v>
      </c>
      <c r="B20" s="48" t="n">
        <f aca="false">IF(B8&gt;0,B16/B8,0)</f>
        <v>0.663799710465809</v>
      </c>
      <c r="C20" s="48" t="n">
        <f aca="false">IF(C8&gt;0,C16/C8,0)</f>
        <v>0.631530841068438</v>
      </c>
      <c r="D20" s="48" t="n">
        <f aca="false">IF(D8&gt;0,D16/D8,0)</f>
        <v>0.673836895739306</v>
      </c>
      <c r="E20" s="48" t="n">
        <f aca="false">IF(E8&gt;0,E16/E8,0)</f>
        <v>0.696744159641205</v>
      </c>
      <c r="F20" s="48" t="n">
        <f aca="false">IF(F8&gt;0,F16/F8,0)</f>
        <v>0.755453745493769</v>
      </c>
    </row>
    <row r="21" customFormat="false" ht="15" hidden="false" customHeight="false" outlineLevel="0" collapsed="false">
      <c r="A21" s="32" t="s">
        <v>198</v>
      </c>
      <c r="B21" s="48" t="n">
        <f aca="false">IF(B8&gt;0,B17/B8,0)</f>
        <v>0.663799710465809</v>
      </c>
      <c r="C21" s="48" t="n">
        <f aca="false">IF(C8&gt;0,C17/C8,0)</f>
        <v>0.631530841068438</v>
      </c>
      <c r="D21" s="48" t="n">
        <f aca="false">IF(D8&gt;0,D17/D8,0)</f>
        <v>0.673836895739306</v>
      </c>
      <c r="E21" s="48" t="n">
        <f aca="false">IF(E8&gt;0,E17/E8,0)</f>
        <v>0.696744159641205</v>
      </c>
      <c r="F21" s="48" t="n">
        <f aca="false">IF(F8&gt;0,F17/F8,0)</f>
        <v>0.755453745493769</v>
      </c>
    </row>
    <row r="23" customFormat="false" ht="15" hidden="false" customHeight="false" outlineLevel="0" collapsed="false">
      <c r="A23" s="49" t="s">
        <v>199</v>
      </c>
      <c r="B23" s="41"/>
      <c r="C23" s="41"/>
      <c r="D23" s="41"/>
      <c r="E23" s="41"/>
      <c r="F23" s="41"/>
    </row>
    <row r="24" customFormat="false" ht="15" hidden="false" customHeight="false" outlineLevel="0" collapsed="false">
      <c r="A24" s="31" t="s">
        <v>33</v>
      </c>
      <c r="B24" s="31" t="s">
        <v>45</v>
      </c>
      <c r="C24" s="31" t="s">
        <v>46</v>
      </c>
      <c r="D24" s="31" t="s">
        <v>7</v>
      </c>
      <c r="E24" s="31" t="s">
        <v>47</v>
      </c>
      <c r="F24" s="31" t="s">
        <v>48</v>
      </c>
    </row>
    <row r="25" customFormat="false" ht="15" hidden="false" customHeight="false" outlineLevel="0" collapsed="false">
      <c r="A25" s="32" t="s">
        <v>200</v>
      </c>
      <c r="B25" s="37" t="n">
        <v>31287000</v>
      </c>
      <c r="C25" s="37" t="n">
        <v>52145000</v>
      </c>
      <c r="D25" s="37" t="n">
        <v>104290000</v>
      </c>
      <c r="E25" s="37" t="n">
        <v>208580000</v>
      </c>
      <c r="F25" s="37" t="n">
        <v>521450000</v>
      </c>
    </row>
    <row r="26" customFormat="false" ht="15" hidden="false" customHeight="false" outlineLevel="0" collapsed="false">
      <c r="A26" s="32" t="s">
        <v>201</v>
      </c>
      <c r="B26" s="37" t="n">
        <v>12481700</v>
      </c>
      <c r="C26" s="37" t="n">
        <v>26643500</v>
      </c>
      <c r="D26" s="37" t="n">
        <v>50083000</v>
      </c>
      <c r="E26" s="37" t="n">
        <v>82706000</v>
      </c>
      <c r="F26" s="37" t="n">
        <v>148581000</v>
      </c>
    </row>
    <row r="27" customFormat="false" ht="15" hidden="false" customHeight="false" outlineLevel="0" collapsed="false">
      <c r="A27" s="38" t="s">
        <v>4</v>
      </c>
      <c r="B27" s="39" t="n">
        <f aca="false">B25-B26</f>
        <v>18805300</v>
      </c>
      <c r="C27" s="39" t="n">
        <f aca="false">C25-C26</f>
        <v>25501500</v>
      </c>
      <c r="D27" s="39" t="n">
        <f aca="false">D25-D26</f>
        <v>54207000</v>
      </c>
      <c r="E27" s="39" t="n">
        <f aca="false">E25-E26</f>
        <v>125874000</v>
      </c>
      <c r="F27" s="39" t="n">
        <f aca="false">F25-F26</f>
        <v>372869000</v>
      </c>
    </row>
    <row r="28" customFormat="false" ht="15" hidden="false" customHeight="false" outlineLevel="0" collapsed="false">
      <c r="A28" s="32" t="s">
        <v>202</v>
      </c>
      <c r="B28" s="48" t="n">
        <f aca="false">IF(B26&gt;0,B27/B26,0)</f>
        <v>1.50662970588942</v>
      </c>
      <c r="C28" s="48" t="n">
        <f aca="false">IF(C26&gt;0,C27/C26,0)</f>
        <v>0.957137763431982</v>
      </c>
      <c r="D28" s="48" t="n">
        <f aca="false">IF(D26&gt;0,D27/D26,0)</f>
        <v>1.08234331010523</v>
      </c>
      <c r="E28" s="48" t="n">
        <f aca="false">IF(E26&gt;0,E27/E26,0)</f>
        <v>1.52194520349189</v>
      </c>
      <c r="F28" s="48" t="n">
        <f aca="false">IF(F26&gt;0,F27/F26,0)</f>
        <v>2.50953352043666</v>
      </c>
    </row>
    <row r="29" customFormat="false" ht="15" hidden="false" customHeight="false" outlineLevel="0" collapsed="false">
      <c r="A29" s="32" t="s">
        <v>203</v>
      </c>
      <c r="B29" s="48" t="n">
        <f aca="false">IF(B25&gt;0,B27/B25,0)</f>
        <v>0.60105794739029</v>
      </c>
      <c r="C29" s="48" t="n">
        <f aca="false">IF(C25&gt;0,C27/C25,0)</f>
        <v>0.489049765078147</v>
      </c>
      <c r="D29" s="48" t="n">
        <f aca="false">IF(D25&gt;0,D27/D25,0)</f>
        <v>0.519771790200403</v>
      </c>
      <c r="E29" s="48" t="n">
        <f aca="false">IF(E25&gt;0,E27/E25,0)</f>
        <v>0.603480678876211</v>
      </c>
      <c r="F29" s="48" t="n">
        <f aca="false">IF(F25&gt;0,F27/F25,0)</f>
        <v>0.71506184677342</v>
      </c>
    </row>
    <row r="31" customFormat="false" ht="17.35" hidden="false" customHeight="false" outlineLevel="0" collapsed="false">
      <c r="A31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2026-03-06T16:01:45Z</dcterms:created>
  <dc:creator>openpyxl</dc:creator>
  <dc:description/>
  <dc:language>en-US</dc:language>
  <cp:lastModifiedBy/>
  <dcterms:modified xsi:type="dcterms:W3CDTF">2026-03-06T16:01:45Z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